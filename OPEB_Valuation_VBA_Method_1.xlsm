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BC02D0AE-69E2-4A34-A002-D5B5169C635A}" xr6:coauthVersionLast="43" xr6:coauthVersionMax="43" xr10:uidLastSave="{00000000-0000-0000-0000-000000000000}"/>
  <bookViews>
    <workbookView xWindow="-120" yWindow="-120" windowWidth="24240" windowHeight="13140" activeTab="3" xr2:uid="{00000000-000D-0000-FFFF-FFFF00000000}"/>
  </bookViews>
  <sheets>
    <sheet name="Documentation" sheetId="11" r:id="rId1"/>
    <sheet name="Assumptions" sheetId="10" r:id="rId2"/>
    <sheet name="AMMset" sheetId="2" r:id="rId3"/>
    <sheet name="Totals" sheetId="17" r:id="rId4"/>
    <sheet name="Checks" sheetId="19" r:id="rId5"/>
    <sheet name="Present Values" sheetId="13" r:id="rId6"/>
    <sheet name="Payouts" sheetId="15" r:id="rId7"/>
    <sheet name="One ret age" sheetId="1" r:id="rId8"/>
    <sheet name="One person" sheetId="12" r:id="rId9"/>
    <sheet name="EAN calculation" sheetId="18" r:id="rId10"/>
    <sheet name="PVB check" sheetId="16" r:id="rId11"/>
    <sheet name="Ret" sheetId="3" r:id="rId12"/>
    <sheet name="Withd" sheetId="4" r:id="rId13"/>
    <sheet name="Mort" sheetId="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H21" i="15" l="1"/>
  <c r="HG21" i="15"/>
  <c r="HH20" i="15"/>
  <c r="HG20" i="15"/>
  <c r="HH19" i="15"/>
  <c r="HG19" i="15"/>
  <c r="HH18" i="15"/>
  <c r="HG18" i="15"/>
  <c r="HH17" i="15"/>
  <c r="HG17" i="15"/>
  <c r="HH16" i="15"/>
  <c r="HG16" i="15"/>
  <c r="HH15" i="15"/>
  <c r="HG15" i="15"/>
  <c r="HH14" i="15"/>
  <c r="HG14" i="15"/>
  <c r="HH13" i="15"/>
  <c r="HG13" i="15"/>
  <c r="HH12" i="15"/>
  <c r="HG12" i="15"/>
  <c r="HH11" i="15"/>
  <c r="HG11" i="15"/>
  <c r="HH10" i="15"/>
  <c r="HG10" i="15"/>
  <c r="HH9" i="15"/>
  <c r="HG9" i="15"/>
  <c r="HH8" i="15"/>
  <c r="HG8" i="15"/>
  <c r="HH7" i="15"/>
  <c r="HG7" i="15"/>
  <c r="HH6" i="15"/>
  <c r="HG6" i="15"/>
  <c r="HH5" i="15"/>
  <c r="HG5" i="15"/>
  <c r="C7" i="18" l="1"/>
  <c r="C9" i="18"/>
  <c r="C8" i="18"/>
  <c r="C5" i="19" l="1"/>
  <c r="C11" i="19"/>
  <c r="C9" i="19"/>
  <c r="C10" i="19"/>
  <c r="C8" i="19"/>
  <c r="C7" i="19"/>
  <c r="C4" i="19"/>
  <c r="D16" i="17"/>
  <c r="D19" i="17"/>
  <c r="C20" i="17"/>
  <c r="C19" i="17"/>
  <c r="C17" i="17"/>
  <c r="C16" i="17"/>
  <c r="HE21" i="15" l="1"/>
  <c r="HD21" i="15"/>
  <c r="HB21" i="15"/>
  <c r="GY21" i="15"/>
  <c r="GX21" i="15"/>
  <c r="GW21" i="15"/>
  <c r="GV21" i="15"/>
  <c r="GU21" i="15"/>
  <c r="GT21" i="15"/>
  <c r="GS21" i="15"/>
  <c r="GR21" i="15"/>
  <c r="GQ21" i="15"/>
  <c r="GP21" i="15"/>
  <c r="GO21" i="15"/>
  <c r="GN21" i="15"/>
  <c r="GM21" i="15"/>
  <c r="GL21" i="15"/>
  <c r="GK21" i="15"/>
  <c r="GJ21" i="15"/>
  <c r="GI21" i="15"/>
  <c r="GH21" i="15"/>
  <c r="GG21" i="15"/>
  <c r="GF21" i="15"/>
  <c r="GE21" i="15"/>
  <c r="GD21" i="15"/>
  <c r="GC21" i="15"/>
  <c r="GB21" i="15"/>
  <c r="GA21" i="15"/>
  <c r="FZ21" i="15"/>
  <c r="FY21" i="15"/>
  <c r="FX21" i="15"/>
  <c r="FW21" i="15"/>
  <c r="FV21" i="15"/>
  <c r="FU21" i="15"/>
  <c r="FT21" i="15"/>
  <c r="FS21" i="15"/>
  <c r="FR21" i="15"/>
  <c r="FQ21" i="15"/>
  <c r="FP21" i="15"/>
  <c r="FO21" i="15"/>
  <c r="FN21" i="15"/>
  <c r="FM21" i="15"/>
  <c r="FL21" i="15"/>
  <c r="FK21" i="15"/>
  <c r="FJ21" i="15"/>
  <c r="FI21" i="15"/>
  <c r="FH21" i="15"/>
  <c r="FG21" i="15"/>
  <c r="FF21" i="15"/>
  <c r="FE21" i="15"/>
  <c r="FD21" i="15"/>
  <c r="FC21" i="15"/>
  <c r="FB21" i="15"/>
  <c r="FA21" i="15"/>
  <c r="EZ21" i="15"/>
  <c r="EY21" i="15"/>
  <c r="EX21" i="15"/>
  <c r="EW21" i="15"/>
  <c r="EV21" i="15"/>
  <c r="EU21" i="15"/>
  <c r="ET21" i="15"/>
  <c r="ES21" i="15"/>
  <c r="ER21" i="15"/>
  <c r="EQ21" i="15"/>
  <c r="EP21" i="15"/>
  <c r="EO21" i="15"/>
  <c r="EN21" i="15"/>
  <c r="EM21" i="15"/>
  <c r="EL21" i="15"/>
  <c r="EK21" i="15"/>
  <c r="EJ21" i="15"/>
  <c r="EI21" i="15"/>
  <c r="EH21" i="15"/>
  <c r="EG21" i="15"/>
  <c r="EF21" i="15"/>
  <c r="EE21" i="15"/>
  <c r="ED21" i="15"/>
  <c r="EC21" i="15"/>
  <c r="EB21" i="15"/>
  <c r="EA21" i="15"/>
  <c r="DZ21" i="15"/>
  <c r="DY21" i="15"/>
  <c r="DX21" i="15"/>
  <c r="DW21" i="15"/>
  <c r="DV21" i="15"/>
  <c r="DU21" i="15"/>
  <c r="DT21" i="15"/>
  <c r="DS21" i="15"/>
  <c r="DR21" i="15"/>
  <c r="DQ21" i="15"/>
  <c r="DP21" i="15"/>
  <c r="DO21" i="15"/>
  <c r="DN21" i="15"/>
  <c r="DM21" i="15"/>
  <c r="DL21" i="15"/>
  <c r="DK21" i="15"/>
  <c r="DJ21" i="15"/>
  <c r="DI21" i="15"/>
  <c r="DH21" i="15"/>
  <c r="DG21" i="15"/>
  <c r="DF21" i="15"/>
  <c r="DE21" i="15"/>
  <c r="DD21" i="15"/>
  <c r="HA21" i="15" s="1"/>
  <c r="HE20" i="15"/>
  <c r="HD20" i="15"/>
  <c r="HB20" i="15"/>
  <c r="GY20" i="15"/>
  <c r="GX20" i="15"/>
  <c r="GW20" i="15"/>
  <c r="GV20" i="15"/>
  <c r="GU20" i="15"/>
  <c r="GT20" i="15"/>
  <c r="GS20" i="15"/>
  <c r="GR20" i="15"/>
  <c r="GQ20" i="15"/>
  <c r="GP20" i="15"/>
  <c r="GO20" i="15"/>
  <c r="GN20" i="15"/>
  <c r="GM20" i="15"/>
  <c r="GL20" i="15"/>
  <c r="GK20" i="15"/>
  <c r="GJ20" i="15"/>
  <c r="GI20" i="15"/>
  <c r="GH20" i="15"/>
  <c r="GG20" i="15"/>
  <c r="GF20" i="15"/>
  <c r="GE20" i="15"/>
  <c r="GD20" i="15"/>
  <c r="GC20" i="15"/>
  <c r="GB20" i="15"/>
  <c r="GA20" i="15"/>
  <c r="FZ20" i="15"/>
  <c r="FY20" i="15"/>
  <c r="FX20" i="15"/>
  <c r="FW20" i="15"/>
  <c r="FV20" i="15"/>
  <c r="FU20" i="15"/>
  <c r="FT20" i="15"/>
  <c r="FS20" i="15"/>
  <c r="FR20" i="15"/>
  <c r="FQ20" i="15"/>
  <c r="FP20" i="15"/>
  <c r="FO20" i="15"/>
  <c r="FN20" i="15"/>
  <c r="FM20" i="15"/>
  <c r="FL20" i="15"/>
  <c r="FK20" i="15"/>
  <c r="FJ20" i="15"/>
  <c r="FI20" i="15"/>
  <c r="FH20" i="15"/>
  <c r="FG20" i="15"/>
  <c r="FF20" i="15"/>
  <c r="FE20" i="15"/>
  <c r="FD20" i="15"/>
  <c r="FC20" i="15"/>
  <c r="FB20" i="15"/>
  <c r="FA20" i="15"/>
  <c r="EZ20" i="15"/>
  <c r="EY20" i="15"/>
  <c r="EX20" i="15"/>
  <c r="EW20" i="15"/>
  <c r="EV20" i="15"/>
  <c r="EU20" i="15"/>
  <c r="ET20" i="15"/>
  <c r="ES20" i="15"/>
  <c r="ER20" i="15"/>
  <c r="EQ20" i="15"/>
  <c r="EP20" i="15"/>
  <c r="EO20" i="15"/>
  <c r="EN20" i="15"/>
  <c r="EM20" i="15"/>
  <c r="EL20" i="15"/>
  <c r="EK20" i="15"/>
  <c r="EJ20" i="15"/>
  <c r="EI20" i="15"/>
  <c r="EH20" i="15"/>
  <c r="EG20" i="15"/>
  <c r="EF20" i="15"/>
  <c r="EE20" i="15"/>
  <c r="ED20" i="15"/>
  <c r="EC20" i="15"/>
  <c r="EB20" i="15"/>
  <c r="EA20" i="15"/>
  <c r="DZ20" i="15"/>
  <c r="DY20" i="15"/>
  <c r="DX20" i="15"/>
  <c r="DW20" i="15"/>
  <c r="DV20" i="15"/>
  <c r="DU20" i="15"/>
  <c r="DT20" i="15"/>
  <c r="DS20" i="15"/>
  <c r="DR20" i="15"/>
  <c r="DQ20" i="15"/>
  <c r="DP20" i="15"/>
  <c r="DO20" i="15"/>
  <c r="DN20" i="15"/>
  <c r="DM20" i="15"/>
  <c r="DL20" i="15"/>
  <c r="DK20" i="15"/>
  <c r="DJ20" i="15"/>
  <c r="DI20" i="15"/>
  <c r="DH20" i="15"/>
  <c r="DG20" i="15"/>
  <c r="DF20" i="15"/>
  <c r="DE20" i="15"/>
  <c r="DD20" i="15"/>
  <c r="HE19" i="15"/>
  <c r="HD19" i="15"/>
  <c r="HB19" i="15"/>
  <c r="GY19" i="15"/>
  <c r="GX19" i="15"/>
  <c r="GW19" i="15"/>
  <c r="GV19" i="15"/>
  <c r="GU19" i="15"/>
  <c r="GT19" i="15"/>
  <c r="GS19" i="15"/>
  <c r="GR19" i="15"/>
  <c r="GQ19" i="15"/>
  <c r="GP19" i="15"/>
  <c r="GO19" i="15"/>
  <c r="GN19" i="15"/>
  <c r="GM19" i="15"/>
  <c r="GL19" i="15"/>
  <c r="GK19" i="15"/>
  <c r="GJ19" i="15"/>
  <c r="GI19" i="15"/>
  <c r="GH19" i="15"/>
  <c r="GG19" i="15"/>
  <c r="GF19" i="15"/>
  <c r="GE19" i="15"/>
  <c r="GD19" i="15"/>
  <c r="GC19" i="15"/>
  <c r="GB19" i="15"/>
  <c r="GA19" i="15"/>
  <c r="FZ19" i="15"/>
  <c r="FY19" i="15"/>
  <c r="FX19" i="15"/>
  <c r="FW19" i="15"/>
  <c r="FV19" i="15"/>
  <c r="FU19" i="15"/>
  <c r="FT19" i="15"/>
  <c r="FS19" i="15"/>
  <c r="FR19" i="15"/>
  <c r="FQ19" i="15"/>
  <c r="FP19" i="15"/>
  <c r="FO19" i="15"/>
  <c r="FN19" i="15"/>
  <c r="FM19" i="15"/>
  <c r="FL19" i="15"/>
  <c r="FK19" i="15"/>
  <c r="FJ19" i="15"/>
  <c r="FI19" i="15"/>
  <c r="FH19" i="15"/>
  <c r="FG19" i="15"/>
  <c r="FF19" i="15"/>
  <c r="FE19" i="15"/>
  <c r="FD19" i="15"/>
  <c r="FC19" i="15"/>
  <c r="FB19" i="15"/>
  <c r="FA19" i="15"/>
  <c r="EZ19" i="15"/>
  <c r="EY19" i="15"/>
  <c r="EX19" i="15"/>
  <c r="EW19" i="15"/>
  <c r="EV19" i="15"/>
  <c r="EU19" i="15"/>
  <c r="ET19" i="15"/>
  <c r="ES19" i="15"/>
  <c r="ER19" i="15"/>
  <c r="EQ19" i="15"/>
  <c r="EP19" i="15"/>
  <c r="EO19" i="15"/>
  <c r="EN19" i="15"/>
  <c r="EM19" i="15"/>
  <c r="EL19" i="15"/>
  <c r="EK19" i="15"/>
  <c r="EJ19" i="15"/>
  <c r="EI19" i="15"/>
  <c r="EH19" i="15"/>
  <c r="EG19" i="15"/>
  <c r="EF19" i="15"/>
  <c r="EE19" i="15"/>
  <c r="ED19" i="15"/>
  <c r="EC19" i="15"/>
  <c r="EB19" i="15"/>
  <c r="EA19" i="15"/>
  <c r="DZ19" i="15"/>
  <c r="DY19" i="15"/>
  <c r="DX19" i="15"/>
  <c r="DW19" i="15"/>
  <c r="DV19" i="15"/>
  <c r="DU19" i="15"/>
  <c r="DT19" i="15"/>
  <c r="DS19" i="15"/>
  <c r="DR19" i="15"/>
  <c r="DQ19" i="15"/>
  <c r="DP19" i="15"/>
  <c r="DO19" i="15"/>
  <c r="DN19" i="15"/>
  <c r="DM19" i="15"/>
  <c r="DL19" i="15"/>
  <c r="DK19" i="15"/>
  <c r="DJ19" i="15"/>
  <c r="DI19" i="15"/>
  <c r="DH19" i="15"/>
  <c r="DG19" i="15"/>
  <c r="DF19" i="15"/>
  <c r="DE19" i="15"/>
  <c r="DD19" i="15"/>
  <c r="HE18" i="15"/>
  <c r="HD18" i="15"/>
  <c r="HB18" i="15"/>
  <c r="GY18" i="15"/>
  <c r="GX18" i="15"/>
  <c r="GW18" i="15"/>
  <c r="GV18" i="15"/>
  <c r="GU18" i="15"/>
  <c r="GT18" i="15"/>
  <c r="GS18" i="15"/>
  <c r="GR18" i="15"/>
  <c r="GQ18" i="15"/>
  <c r="GP18" i="15"/>
  <c r="GO18" i="15"/>
  <c r="GN18" i="15"/>
  <c r="GM18" i="15"/>
  <c r="GL18" i="15"/>
  <c r="GK18" i="15"/>
  <c r="GJ18" i="15"/>
  <c r="GI18" i="15"/>
  <c r="GH18" i="15"/>
  <c r="GG18" i="15"/>
  <c r="GF18" i="15"/>
  <c r="GE18" i="15"/>
  <c r="GD18" i="15"/>
  <c r="GC18" i="15"/>
  <c r="GB18" i="15"/>
  <c r="GA18" i="15"/>
  <c r="FZ18" i="15"/>
  <c r="FY18" i="15"/>
  <c r="FX18" i="15"/>
  <c r="FW18" i="15"/>
  <c r="FV18" i="15"/>
  <c r="FU18" i="15"/>
  <c r="FT18" i="15"/>
  <c r="FS18" i="15"/>
  <c r="FR18" i="15"/>
  <c r="FQ18" i="15"/>
  <c r="FP18" i="15"/>
  <c r="FO18" i="15"/>
  <c r="FN18" i="15"/>
  <c r="FM18" i="15"/>
  <c r="FL18" i="15"/>
  <c r="FK18" i="15"/>
  <c r="FJ18" i="15"/>
  <c r="FI18" i="15"/>
  <c r="FH18" i="15"/>
  <c r="FG18" i="15"/>
  <c r="FF18" i="15"/>
  <c r="FE18" i="15"/>
  <c r="FD18" i="15"/>
  <c r="FC18" i="15"/>
  <c r="FB18" i="15"/>
  <c r="FA18" i="15"/>
  <c r="EZ18" i="15"/>
  <c r="EY18" i="15"/>
  <c r="EX18" i="15"/>
  <c r="EW18" i="15"/>
  <c r="EV18" i="15"/>
  <c r="EU18" i="15"/>
  <c r="ET18" i="15"/>
  <c r="ES18" i="15"/>
  <c r="ER18" i="15"/>
  <c r="EQ18" i="15"/>
  <c r="EP18" i="15"/>
  <c r="EO18" i="15"/>
  <c r="EN18" i="15"/>
  <c r="EM18" i="15"/>
  <c r="EL18" i="15"/>
  <c r="EK18" i="15"/>
  <c r="EJ18" i="15"/>
  <c r="EI18" i="15"/>
  <c r="EH18" i="15"/>
  <c r="EG18" i="15"/>
  <c r="EF18" i="15"/>
  <c r="EE18" i="15"/>
  <c r="ED18" i="15"/>
  <c r="EC18" i="15"/>
  <c r="EB18" i="15"/>
  <c r="EA18" i="15"/>
  <c r="DZ18" i="15"/>
  <c r="DY18" i="15"/>
  <c r="DX18" i="15"/>
  <c r="DW18" i="15"/>
  <c r="DV18" i="15"/>
  <c r="DU18" i="15"/>
  <c r="DT18" i="15"/>
  <c r="DS18" i="15"/>
  <c r="DR18" i="15"/>
  <c r="DQ18" i="15"/>
  <c r="DP18" i="15"/>
  <c r="DO18" i="15"/>
  <c r="DN18" i="15"/>
  <c r="DM18" i="15"/>
  <c r="DL18" i="15"/>
  <c r="DK18" i="15"/>
  <c r="DJ18" i="15"/>
  <c r="DI18" i="15"/>
  <c r="DH18" i="15"/>
  <c r="DG18" i="15"/>
  <c r="DF18" i="15"/>
  <c r="DE18" i="15"/>
  <c r="DD18" i="15"/>
  <c r="HE17" i="15"/>
  <c r="HD17" i="15"/>
  <c r="HB17" i="15"/>
  <c r="GY17" i="15"/>
  <c r="GX17" i="15"/>
  <c r="GW17" i="15"/>
  <c r="GV17" i="15"/>
  <c r="GU17" i="15"/>
  <c r="GT17" i="15"/>
  <c r="GS17" i="15"/>
  <c r="GR17" i="15"/>
  <c r="GQ17" i="15"/>
  <c r="GP17" i="15"/>
  <c r="GO17" i="15"/>
  <c r="GN17" i="15"/>
  <c r="GM17" i="15"/>
  <c r="GL17" i="15"/>
  <c r="GK17" i="15"/>
  <c r="GJ17" i="15"/>
  <c r="GI17" i="15"/>
  <c r="GH17" i="15"/>
  <c r="GG17" i="15"/>
  <c r="GF17" i="15"/>
  <c r="GE17" i="15"/>
  <c r="GD17" i="15"/>
  <c r="GC17" i="15"/>
  <c r="GB17" i="15"/>
  <c r="GA17" i="15"/>
  <c r="FZ17" i="15"/>
  <c r="FY17" i="15"/>
  <c r="FX17" i="15"/>
  <c r="FW17" i="15"/>
  <c r="FV17" i="15"/>
  <c r="FU17" i="15"/>
  <c r="FT17" i="15"/>
  <c r="FS17" i="15"/>
  <c r="FR17" i="15"/>
  <c r="FQ17" i="15"/>
  <c r="FP17" i="15"/>
  <c r="FO17" i="15"/>
  <c r="FN17" i="15"/>
  <c r="FM17" i="15"/>
  <c r="FL17" i="15"/>
  <c r="FK17" i="15"/>
  <c r="FJ17" i="15"/>
  <c r="FI17" i="15"/>
  <c r="FH17" i="15"/>
  <c r="FG17" i="15"/>
  <c r="FF17" i="15"/>
  <c r="FE17" i="15"/>
  <c r="FD17" i="15"/>
  <c r="FC17" i="15"/>
  <c r="FB17" i="15"/>
  <c r="FA17" i="15"/>
  <c r="EZ17" i="15"/>
  <c r="EY17" i="15"/>
  <c r="EX17" i="15"/>
  <c r="EW17" i="15"/>
  <c r="EV17" i="15"/>
  <c r="EU17" i="15"/>
  <c r="ET17" i="15"/>
  <c r="ES17" i="15"/>
  <c r="ER17" i="15"/>
  <c r="EQ17" i="15"/>
  <c r="EP17" i="15"/>
  <c r="EO17" i="15"/>
  <c r="EN17" i="15"/>
  <c r="EM17" i="15"/>
  <c r="EL17" i="15"/>
  <c r="EK17" i="15"/>
  <c r="EJ17" i="15"/>
  <c r="EI17" i="15"/>
  <c r="EH17" i="15"/>
  <c r="EG17" i="15"/>
  <c r="EF17" i="15"/>
  <c r="EE17" i="15"/>
  <c r="ED17" i="15"/>
  <c r="EC17" i="15"/>
  <c r="EB17" i="15"/>
  <c r="EA17" i="15"/>
  <c r="DZ17" i="15"/>
  <c r="DY17" i="15"/>
  <c r="DX17" i="15"/>
  <c r="DW17" i="15"/>
  <c r="DV17" i="15"/>
  <c r="DU17" i="15"/>
  <c r="DT17" i="15"/>
  <c r="DS17" i="15"/>
  <c r="DR17" i="15"/>
  <c r="DQ17" i="15"/>
  <c r="DP17" i="15"/>
  <c r="DO17" i="15"/>
  <c r="DN17" i="15"/>
  <c r="DM17" i="15"/>
  <c r="DL17" i="15"/>
  <c r="DK17" i="15"/>
  <c r="DJ17" i="15"/>
  <c r="DI17" i="15"/>
  <c r="DH17" i="15"/>
  <c r="DG17" i="15"/>
  <c r="DF17" i="15"/>
  <c r="DE17" i="15"/>
  <c r="DD17" i="15"/>
  <c r="HE16" i="15"/>
  <c r="HD16" i="15"/>
  <c r="HB16" i="15"/>
  <c r="GY16" i="15"/>
  <c r="GX16" i="15"/>
  <c r="GW16" i="15"/>
  <c r="GV16" i="15"/>
  <c r="GU16" i="15"/>
  <c r="GT16" i="15"/>
  <c r="GS16" i="15"/>
  <c r="GR16" i="15"/>
  <c r="GQ16" i="15"/>
  <c r="GP16" i="15"/>
  <c r="GO16" i="15"/>
  <c r="GN16" i="15"/>
  <c r="GM16" i="15"/>
  <c r="GL16" i="15"/>
  <c r="GK16" i="15"/>
  <c r="GJ16" i="15"/>
  <c r="GI16" i="15"/>
  <c r="GH16" i="15"/>
  <c r="GG16" i="15"/>
  <c r="GF16" i="15"/>
  <c r="GE16" i="15"/>
  <c r="GD16" i="15"/>
  <c r="GC16" i="15"/>
  <c r="GB16" i="15"/>
  <c r="GA16" i="15"/>
  <c r="FZ16" i="15"/>
  <c r="FY16" i="15"/>
  <c r="FX16" i="15"/>
  <c r="FW16" i="15"/>
  <c r="FV16" i="15"/>
  <c r="FU16" i="15"/>
  <c r="FT16" i="15"/>
  <c r="FS16" i="15"/>
  <c r="FR16" i="15"/>
  <c r="FQ16" i="15"/>
  <c r="FP16" i="15"/>
  <c r="FO16" i="15"/>
  <c r="FN16" i="15"/>
  <c r="FM16" i="15"/>
  <c r="FL16" i="15"/>
  <c r="FK16" i="15"/>
  <c r="FJ16" i="15"/>
  <c r="FI16" i="15"/>
  <c r="FH16" i="15"/>
  <c r="FG16" i="15"/>
  <c r="FF16" i="15"/>
  <c r="FE16" i="15"/>
  <c r="FD16" i="15"/>
  <c r="FC16" i="15"/>
  <c r="FB16" i="15"/>
  <c r="FA16" i="15"/>
  <c r="EZ16" i="15"/>
  <c r="EY16" i="15"/>
  <c r="EX16" i="15"/>
  <c r="EW16" i="15"/>
  <c r="EV16" i="15"/>
  <c r="EU16" i="15"/>
  <c r="ET16" i="15"/>
  <c r="ES16" i="15"/>
  <c r="ER16" i="15"/>
  <c r="EQ16" i="15"/>
  <c r="EP16" i="15"/>
  <c r="EO16" i="15"/>
  <c r="EN16" i="15"/>
  <c r="EM16" i="15"/>
  <c r="EL16" i="15"/>
  <c r="EK16" i="15"/>
  <c r="EJ16" i="15"/>
  <c r="EI16" i="15"/>
  <c r="EH16" i="15"/>
  <c r="EG16" i="15"/>
  <c r="EF16" i="15"/>
  <c r="EE16" i="15"/>
  <c r="ED16" i="15"/>
  <c r="EC16" i="15"/>
  <c r="EB16" i="15"/>
  <c r="EA16" i="15"/>
  <c r="DZ16" i="15"/>
  <c r="DY16" i="15"/>
  <c r="DX16" i="15"/>
  <c r="DW16" i="15"/>
  <c r="DV16" i="15"/>
  <c r="DU16" i="15"/>
  <c r="DT16" i="15"/>
  <c r="DS16" i="15"/>
  <c r="DR16" i="15"/>
  <c r="DQ16" i="15"/>
  <c r="DP16" i="15"/>
  <c r="DO16" i="15"/>
  <c r="DN16" i="15"/>
  <c r="DM16" i="15"/>
  <c r="DL16" i="15"/>
  <c r="DK16" i="15"/>
  <c r="DJ16" i="15"/>
  <c r="DI16" i="15"/>
  <c r="DH16" i="15"/>
  <c r="DG16" i="15"/>
  <c r="DF16" i="15"/>
  <c r="DE16" i="15"/>
  <c r="DD16" i="15"/>
  <c r="HE15" i="15"/>
  <c r="HD15" i="15"/>
  <c r="HB15" i="15"/>
  <c r="GY15" i="15"/>
  <c r="GX15" i="15"/>
  <c r="GW15" i="15"/>
  <c r="GV15" i="15"/>
  <c r="GU15" i="15"/>
  <c r="GT15" i="15"/>
  <c r="GS15" i="15"/>
  <c r="GR15" i="15"/>
  <c r="GQ15" i="15"/>
  <c r="GP15" i="15"/>
  <c r="GO15" i="15"/>
  <c r="GN15" i="15"/>
  <c r="GM15" i="15"/>
  <c r="GL15" i="15"/>
  <c r="GK15" i="15"/>
  <c r="GJ15" i="15"/>
  <c r="GI15" i="15"/>
  <c r="GH15" i="15"/>
  <c r="GG15" i="15"/>
  <c r="GF15" i="15"/>
  <c r="GE15" i="15"/>
  <c r="GD15" i="15"/>
  <c r="GC15" i="15"/>
  <c r="GB15" i="15"/>
  <c r="GA15" i="15"/>
  <c r="FZ15" i="15"/>
  <c r="FY15" i="15"/>
  <c r="FX15" i="15"/>
  <c r="FW15" i="15"/>
  <c r="FV15" i="15"/>
  <c r="FU15" i="15"/>
  <c r="FT15" i="15"/>
  <c r="FS15" i="15"/>
  <c r="FR15" i="15"/>
  <c r="FQ15" i="15"/>
  <c r="FP15" i="15"/>
  <c r="FO15" i="15"/>
  <c r="FN15" i="15"/>
  <c r="FM15" i="15"/>
  <c r="FL15" i="15"/>
  <c r="FK15" i="15"/>
  <c r="FJ15" i="15"/>
  <c r="FI15" i="15"/>
  <c r="FH15" i="15"/>
  <c r="FG15" i="15"/>
  <c r="FF15" i="15"/>
  <c r="FE15" i="15"/>
  <c r="FD15" i="15"/>
  <c r="FC15" i="15"/>
  <c r="FB15" i="15"/>
  <c r="FA15" i="15"/>
  <c r="EZ15" i="15"/>
  <c r="EY15" i="15"/>
  <c r="EX15" i="15"/>
  <c r="EW15" i="15"/>
  <c r="EV15" i="15"/>
  <c r="EU15" i="15"/>
  <c r="ET15" i="15"/>
  <c r="ES15" i="15"/>
  <c r="ER15" i="15"/>
  <c r="EQ15" i="15"/>
  <c r="EP15" i="15"/>
  <c r="EO15" i="15"/>
  <c r="EN15" i="15"/>
  <c r="EM15" i="15"/>
  <c r="EL15" i="15"/>
  <c r="EK15" i="15"/>
  <c r="EJ15" i="15"/>
  <c r="EI15" i="15"/>
  <c r="EH15" i="15"/>
  <c r="EG15" i="15"/>
  <c r="EF15" i="15"/>
  <c r="EE15" i="15"/>
  <c r="ED15" i="15"/>
  <c r="EC15" i="15"/>
  <c r="EB15" i="15"/>
  <c r="EA15" i="15"/>
  <c r="DZ15" i="15"/>
  <c r="DY15" i="15"/>
  <c r="DX15" i="15"/>
  <c r="DW15" i="15"/>
  <c r="DV15" i="15"/>
  <c r="DU15" i="15"/>
  <c r="DT15" i="15"/>
  <c r="DS15" i="15"/>
  <c r="DR15" i="15"/>
  <c r="DQ15" i="15"/>
  <c r="DP15" i="15"/>
  <c r="DO15" i="15"/>
  <c r="DN15" i="15"/>
  <c r="DM15" i="15"/>
  <c r="DL15" i="15"/>
  <c r="DK15" i="15"/>
  <c r="DJ15" i="15"/>
  <c r="DI15" i="15"/>
  <c r="DH15" i="15"/>
  <c r="DG15" i="15"/>
  <c r="DF15" i="15"/>
  <c r="DE15" i="15"/>
  <c r="DD15" i="15"/>
  <c r="HE14" i="15"/>
  <c r="HD14" i="15"/>
  <c r="HB14" i="15"/>
  <c r="GY14" i="15"/>
  <c r="GX14" i="15"/>
  <c r="GW14" i="15"/>
  <c r="GV14" i="15"/>
  <c r="GU14" i="15"/>
  <c r="GT14" i="15"/>
  <c r="GS14" i="15"/>
  <c r="GR14" i="15"/>
  <c r="GQ14" i="15"/>
  <c r="GP14" i="15"/>
  <c r="GO14" i="15"/>
  <c r="GN14" i="15"/>
  <c r="GM14" i="15"/>
  <c r="GL14" i="15"/>
  <c r="GK14" i="15"/>
  <c r="GJ14" i="15"/>
  <c r="GI14" i="15"/>
  <c r="GH14" i="15"/>
  <c r="GG14" i="15"/>
  <c r="GF14" i="15"/>
  <c r="GE14" i="15"/>
  <c r="GD14" i="15"/>
  <c r="GC14" i="15"/>
  <c r="GB14" i="15"/>
  <c r="GA14" i="15"/>
  <c r="FZ14" i="15"/>
  <c r="FY14" i="15"/>
  <c r="FX14" i="15"/>
  <c r="FW14" i="15"/>
  <c r="FV14" i="15"/>
  <c r="FU14" i="15"/>
  <c r="FT14" i="15"/>
  <c r="FS14" i="15"/>
  <c r="FR14" i="15"/>
  <c r="FQ14" i="15"/>
  <c r="FP14" i="15"/>
  <c r="FO14" i="15"/>
  <c r="FN14" i="15"/>
  <c r="FM14" i="15"/>
  <c r="FL14" i="15"/>
  <c r="FK14" i="15"/>
  <c r="FJ14" i="15"/>
  <c r="FI14" i="15"/>
  <c r="FH14" i="15"/>
  <c r="FG14" i="15"/>
  <c r="FF14" i="15"/>
  <c r="FE14" i="15"/>
  <c r="FD14" i="15"/>
  <c r="FC14" i="15"/>
  <c r="FB14" i="15"/>
  <c r="FA14" i="15"/>
  <c r="EZ14" i="15"/>
  <c r="EY14" i="15"/>
  <c r="EX14" i="15"/>
  <c r="EW14" i="15"/>
  <c r="EV14" i="15"/>
  <c r="EU14" i="15"/>
  <c r="ET14" i="15"/>
  <c r="ES14" i="15"/>
  <c r="ER14" i="15"/>
  <c r="EQ14" i="15"/>
  <c r="EP14" i="15"/>
  <c r="EO14" i="15"/>
  <c r="EN14" i="15"/>
  <c r="EM14" i="15"/>
  <c r="EL14" i="15"/>
  <c r="EK14" i="15"/>
  <c r="EJ14" i="15"/>
  <c r="EI14" i="15"/>
  <c r="EH14" i="15"/>
  <c r="EG14" i="15"/>
  <c r="EF14" i="15"/>
  <c r="EE14" i="15"/>
  <c r="ED14" i="15"/>
  <c r="EC14" i="15"/>
  <c r="EB14" i="15"/>
  <c r="EA14" i="15"/>
  <c r="DZ14" i="15"/>
  <c r="DY14" i="15"/>
  <c r="DX14" i="15"/>
  <c r="DW14" i="15"/>
  <c r="DV14" i="15"/>
  <c r="DU14" i="15"/>
  <c r="DT14" i="15"/>
  <c r="DS14" i="15"/>
  <c r="DR14" i="15"/>
  <c r="DQ14" i="15"/>
  <c r="DP14" i="15"/>
  <c r="DO14" i="15"/>
  <c r="DN14" i="15"/>
  <c r="DM14" i="15"/>
  <c r="DL14" i="15"/>
  <c r="DK14" i="15"/>
  <c r="DJ14" i="15"/>
  <c r="DI14" i="15"/>
  <c r="DH14" i="15"/>
  <c r="DG14" i="15"/>
  <c r="DF14" i="15"/>
  <c r="DE14" i="15"/>
  <c r="DD14" i="15"/>
  <c r="HE13" i="15"/>
  <c r="HD13" i="15"/>
  <c r="HB13" i="15"/>
  <c r="GY13" i="15"/>
  <c r="GX13" i="15"/>
  <c r="GW13" i="15"/>
  <c r="GV13" i="15"/>
  <c r="GU13" i="15"/>
  <c r="GT13" i="15"/>
  <c r="GS13" i="15"/>
  <c r="GR13" i="15"/>
  <c r="GQ13" i="15"/>
  <c r="GP13" i="15"/>
  <c r="GO13" i="15"/>
  <c r="GN13" i="15"/>
  <c r="GM13" i="15"/>
  <c r="GL13" i="15"/>
  <c r="GK13" i="15"/>
  <c r="GJ13" i="15"/>
  <c r="GI13" i="15"/>
  <c r="GH13" i="15"/>
  <c r="GG13" i="15"/>
  <c r="GF13" i="15"/>
  <c r="GE13" i="15"/>
  <c r="GD13" i="15"/>
  <c r="GC13" i="15"/>
  <c r="GB13" i="15"/>
  <c r="GA13" i="15"/>
  <c r="FZ13" i="15"/>
  <c r="FY13" i="15"/>
  <c r="FX13" i="15"/>
  <c r="FW13" i="15"/>
  <c r="FV13" i="15"/>
  <c r="FU13" i="15"/>
  <c r="FT13" i="15"/>
  <c r="FS13" i="15"/>
  <c r="FR13" i="15"/>
  <c r="FQ13" i="15"/>
  <c r="FP13" i="15"/>
  <c r="FO13" i="15"/>
  <c r="FN13" i="15"/>
  <c r="FM13" i="15"/>
  <c r="FL13" i="15"/>
  <c r="FK13" i="15"/>
  <c r="FJ13" i="15"/>
  <c r="FI13" i="15"/>
  <c r="FH13" i="15"/>
  <c r="FG13" i="15"/>
  <c r="FF13" i="15"/>
  <c r="FE13" i="15"/>
  <c r="FD13" i="15"/>
  <c r="FC13" i="15"/>
  <c r="FB13" i="15"/>
  <c r="FA13" i="15"/>
  <c r="EZ13" i="15"/>
  <c r="EY13" i="15"/>
  <c r="EX13" i="15"/>
  <c r="EW13" i="15"/>
  <c r="EV13" i="15"/>
  <c r="EU13" i="15"/>
  <c r="ET13" i="15"/>
  <c r="ES13" i="15"/>
  <c r="ER13" i="15"/>
  <c r="EQ13" i="15"/>
  <c r="EP13" i="15"/>
  <c r="EO13" i="15"/>
  <c r="EN13" i="15"/>
  <c r="EM13" i="15"/>
  <c r="EL13" i="15"/>
  <c r="EK13" i="15"/>
  <c r="EJ13" i="15"/>
  <c r="EI13" i="15"/>
  <c r="EH13" i="15"/>
  <c r="EG13" i="15"/>
  <c r="EF13" i="15"/>
  <c r="EE13" i="15"/>
  <c r="ED13" i="15"/>
  <c r="EC13" i="15"/>
  <c r="EB13" i="15"/>
  <c r="EA13" i="15"/>
  <c r="DZ13" i="15"/>
  <c r="DY13" i="15"/>
  <c r="DX13" i="15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I13" i="15"/>
  <c r="DH13" i="15"/>
  <c r="DG13" i="15"/>
  <c r="DF13" i="15"/>
  <c r="DE13" i="15"/>
  <c r="DD13" i="15"/>
  <c r="HE12" i="15"/>
  <c r="HD12" i="15"/>
  <c r="HB12" i="15"/>
  <c r="GY12" i="15"/>
  <c r="GX12" i="15"/>
  <c r="GW12" i="15"/>
  <c r="GV12" i="15"/>
  <c r="GU12" i="15"/>
  <c r="GT12" i="15"/>
  <c r="GS12" i="15"/>
  <c r="GR12" i="15"/>
  <c r="GQ12" i="15"/>
  <c r="GP12" i="15"/>
  <c r="GO12" i="15"/>
  <c r="GN12" i="15"/>
  <c r="GM12" i="15"/>
  <c r="GL12" i="15"/>
  <c r="GK12" i="15"/>
  <c r="GJ12" i="15"/>
  <c r="GI12" i="15"/>
  <c r="GH12" i="15"/>
  <c r="GG12" i="15"/>
  <c r="GF12" i="15"/>
  <c r="GE12" i="15"/>
  <c r="GD12" i="15"/>
  <c r="GC12" i="15"/>
  <c r="GB12" i="15"/>
  <c r="GA12" i="15"/>
  <c r="FZ12" i="15"/>
  <c r="FY12" i="15"/>
  <c r="FX12" i="15"/>
  <c r="FW12" i="15"/>
  <c r="FV12" i="15"/>
  <c r="FU12" i="15"/>
  <c r="FT12" i="15"/>
  <c r="FS12" i="15"/>
  <c r="FR12" i="15"/>
  <c r="FQ12" i="15"/>
  <c r="FP12" i="15"/>
  <c r="FO12" i="15"/>
  <c r="FN12" i="15"/>
  <c r="FM12" i="15"/>
  <c r="FL12" i="15"/>
  <c r="FK12" i="15"/>
  <c r="FJ12" i="15"/>
  <c r="FI12" i="15"/>
  <c r="FH12" i="15"/>
  <c r="FG12" i="15"/>
  <c r="FF12" i="15"/>
  <c r="FE12" i="15"/>
  <c r="FD12" i="15"/>
  <c r="FC12" i="15"/>
  <c r="FB12" i="15"/>
  <c r="FA12" i="15"/>
  <c r="EZ12" i="15"/>
  <c r="EY12" i="15"/>
  <c r="EX12" i="15"/>
  <c r="EW12" i="15"/>
  <c r="EV12" i="15"/>
  <c r="EU12" i="15"/>
  <c r="ET12" i="15"/>
  <c r="ES12" i="15"/>
  <c r="ER12" i="15"/>
  <c r="EQ12" i="15"/>
  <c r="EP12" i="15"/>
  <c r="EO12" i="15"/>
  <c r="EN12" i="15"/>
  <c r="EM12" i="15"/>
  <c r="EL12" i="15"/>
  <c r="EK12" i="15"/>
  <c r="EJ12" i="15"/>
  <c r="EI12" i="15"/>
  <c r="EH12" i="15"/>
  <c r="EG12" i="15"/>
  <c r="EF12" i="15"/>
  <c r="EE12" i="15"/>
  <c r="ED12" i="15"/>
  <c r="EC12" i="15"/>
  <c r="EB12" i="15"/>
  <c r="EA12" i="15"/>
  <c r="DZ12" i="15"/>
  <c r="DY12" i="15"/>
  <c r="DX12" i="15"/>
  <c r="DW12" i="15"/>
  <c r="DV12" i="15"/>
  <c r="DU12" i="15"/>
  <c r="DT12" i="15"/>
  <c r="DS12" i="15"/>
  <c r="DR12" i="15"/>
  <c r="DQ12" i="15"/>
  <c r="DP12" i="15"/>
  <c r="DO12" i="15"/>
  <c r="DN12" i="15"/>
  <c r="DM12" i="15"/>
  <c r="DL12" i="15"/>
  <c r="DK12" i="15"/>
  <c r="DJ12" i="15"/>
  <c r="DI12" i="15"/>
  <c r="DH12" i="15"/>
  <c r="DG12" i="15"/>
  <c r="DF12" i="15"/>
  <c r="DE12" i="15"/>
  <c r="DD12" i="15"/>
  <c r="HE11" i="15"/>
  <c r="HD11" i="15"/>
  <c r="HB11" i="15"/>
  <c r="GY11" i="15"/>
  <c r="GX11" i="15"/>
  <c r="GW11" i="15"/>
  <c r="GV11" i="15"/>
  <c r="GU11" i="15"/>
  <c r="GT11" i="15"/>
  <c r="GS11" i="15"/>
  <c r="GR11" i="15"/>
  <c r="GQ11" i="15"/>
  <c r="GP11" i="15"/>
  <c r="GO11" i="15"/>
  <c r="GN11" i="15"/>
  <c r="GM11" i="15"/>
  <c r="GL11" i="15"/>
  <c r="GK11" i="15"/>
  <c r="GJ11" i="15"/>
  <c r="GI11" i="15"/>
  <c r="GH11" i="15"/>
  <c r="GG11" i="15"/>
  <c r="GF11" i="15"/>
  <c r="GE11" i="15"/>
  <c r="GD11" i="15"/>
  <c r="GC11" i="15"/>
  <c r="GB11" i="15"/>
  <c r="GA11" i="15"/>
  <c r="FZ11" i="15"/>
  <c r="FY11" i="15"/>
  <c r="FX11" i="15"/>
  <c r="FW11" i="15"/>
  <c r="FV11" i="15"/>
  <c r="FU11" i="15"/>
  <c r="FT11" i="15"/>
  <c r="FS11" i="15"/>
  <c r="FR11" i="15"/>
  <c r="FQ11" i="15"/>
  <c r="FP11" i="15"/>
  <c r="FO11" i="15"/>
  <c r="FN11" i="15"/>
  <c r="FM11" i="15"/>
  <c r="FL11" i="15"/>
  <c r="FK11" i="15"/>
  <c r="FJ11" i="15"/>
  <c r="FI11" i="15"/>
  <c r="FH11" i="15"/>
  <c r="FG11" i="15"/>
  <c r="FF11" i="15"/>
  <c r="FE11" i="15"/>
  <c r="FD11" i="15"/>
  <c r="FC11" i="15"/>
  <c r="FB11" i="15"/>
  <c r="FA11" i="15"/>
  <c r="EZ11" i="15"/>
  <c r="EY11" i="15"/>
  <c r="EX11" i="15"/>
  <c r="EW11" i="15"/>
  <c r="EV11" i="15"/>
  <c r="EU11" i="15"/>
  <c r="ET11" i="15"/>
  <c r="ES11" i="15"/>
  <c r="ER11" i="15"/>
  <c r="EQ11" i="15"/>
  <c r="EP11" i="15"/>
  <c r="EO11" i="15"/>
  <c r="EN11" i="15"/>
  <c r="EM11" i="15"/>
  <c r="EL11" i="15"/>
  <c r="EK11" i="15"/>
  <c r="EJ11" i="15"/>
  <c r="EI11" i="15"/>
  <c r="EH11" i="15"/>
  <c r="EG11" i="15"/>
  <c r="EF11" i="15"/>
  <c r="EE11" i="15"/>
  <c r="ED11" i="15"/>
  <c r="EC11" i="15"/>
  <c r="EB11" i="15"/>
  <c r="EA11" i="15"/>
  <c r="DZ11" i="15"/>
  <c r="DY11" i="15"/>
  <c r="DX11" i="15"/>
  <c r="DW11" i="15"/>
  <c r="DV11" i="15"/>
  <c r="DU11" i="15"/>
  <c r="DT11" i="15"/>
  <c r="DS11" i="15"/>
  <c r="DR11" i="15"/>
  <c r="DQ11" i="15"/>
  <c r="DP11" i="15"/>
  <c r="DO11" i="15"/>
  <c r="DN11" i="15"/>
  <c r="DM11" i="15"/>
  <c r="DL11" i="15"/>
  <c r="DK11" i="15"/>
  <c r="DJ11" i="15"/>
  <c r="DI11" i="15"/>
  <c r="DH11" i="15"/>
  <c r="DG11" i="15"/>
  <c r="DF11" i="15"/>
  <c r="DE11" i="15"/>
  <c r="DD11" i="15"/>
  <c r="HE10" i="15"/>
  <c r="HD10" i="15"/>
  <c r="HB10" i="15"/>
  <c r="GY10" i="15"/>
  <c r="GX10" i="15"/>
  <c r="GW10" i="15"/>
  <c r="GV10" i="15"/>
  <c r="GU10" i="15"/>
  <c r="GT10" i="15"/>
  <c r="GS10" i="15"/>
  <c r="GR10" i="15"/>
  <c r="GQ10" i="15"/>
  <c r="GP10" i="15"/>
  <c r="GO10" i="15"/>
  <c r="GN10" i="15"/>
  <c r="GM10" i="15"/>
  <c r="GL10" i="15"/>
  <c r="GK10" i="15"/>
  <c r="GJ10" i="15"/>
  <c r="GI10" i="15"/>
  <c r="GH10" i="15"/>
  <c r="GG10" i="15"/>
  <c r="GF10" i="15"/>
  <c r="GE10" i="15"/>
  <c r="GD10" i="15"/>
  <c r="GC10" i="15"/>
  <c r="GB10" i="15"/>
  <c r="GA10" i="15"/>
  <c r="FZ10" i="15"/>
  <c r="FY10" i="15"/>
  <c r="FX10" i="15"/>
  <c r="FW10" i="15"/>
  <c r="FV10" i="15"/>
  <c r="FU10" i="15"/>
  <c r="FT10" i="15"/>
  <c r="FS10" i="15"/>
  <c r="FR10" i="15"/>
  <c r="FQ10" i="15"/>
  <c r="FP10" i="15"/>
  <c r="FO10" i="15"/>
  <c r="FN10" i="15"/>
  <c r="FM10" i="15"/>
  <c r="FL10" i="15"/>
  <c r="FK10" i="15"/>
  <c r="FJ10" i="15"/>
  <c r="FI10" i="15"/>
  <c r="FH10" i="15"/>
  <c r="FG10" i="15"/>
  <c r="FF10" i="15"/>
  <c r="FE10" i="15"/>
  <c r="FD10" i="15"/>
  <c r="FC10" i="15"/>
  <c r="FB10" i="15"/>
  <c r="FA10" i="15"/>
  <c r="EZ10" i="15"/>
  <c r="EY10" i="15"/>
  <c r="EX10" i="15"/>
  <c r="EW10" i="15"/>
  <c r="EV10" i="15"/>
  <c r="EU10" i="15"/>
  <c r="ET10" i="15"/>
  <c r="ES10" i="15"/>
  <c r="ER10" i="15"/>
  <c r="EQ10" i="15"/>
  <c r="EP10" i="15"/>
  <c r="EO10" i="15"/>
  <c r="EN10" i="15"/>
  <c r="EM10" i="15"/>
  <c r="EL10" i="15"/>
  <c r="EK10" i="15"/>
  <c r="EJ10" i="15"/>
  <c r="EI10" i="15"/>
  <c r="EH10" i="15"/>
  <c r="EG10" i="15"/>
  <c r="EF10" i="15"/>
  <c r="EE10" i="15"/>
  <c r="ED10" i="15"/>
  <c r="EC10" i="15"/>
  <c r="EB10" i="15"/>
  <c r="EA10" i="15"/>
  <c r="DZ10" i="15"/>
  <c r="DY10" i="15"/>
  <c r="DX10" i="15"/>
  <c r="DW10" i="15"/>
  <c r="DV10" i="15"/>
  <c r="DU10" i="15"/>
  <c r="DT10" i="15"/>
  <c r="DS10" i="15"/>
  <c r="DR10" i="15"/>
  <c r="DQ10" i="15"/>
  <c r="DP10" i="15"/>
  <c r="DO10" i="15"/>
  <c r="DN10" i="15"/>
  <c r="DM10" i="15"/>
  <c r="DL10" i="15"/>
  <c r="DK10" i="15"/>
  <c r="DJ10" i="15"/>
  <c r="DI10" i="15"/>
  <c r="DH10" i="15"/>
  <c r="DG10" i="15"/>
  <c r="DF10" i="15"/>
  <c r="DE10" i="15"/>
  <c r="DD10" i="15"/>
  <c r="HE9" i="15"/>
  <c r="HD9" i="15"/>
  <c r="HB9" i="15"/>
  <c r="GY9" i="15"/>
  <c r="GX9" i="15"/>
  <c r="GW9" i="15"/>
  <c r="GV9" i="15"/>
  <c r="GU9" i="15"/>
  <c r="GT9" i="15"/>
  <c r="GS9" i="15"/>
  <c r="GR9" i="15"/>
  <c r="GQ9" i="15"/>
  <c r="GP9" i="15"/>
  <c r="GO9" i="15"/>
  <c r="GN9" i="15"/>
  <c r="GM9" i="15"/>
  <c r="GL9" i="15"/>
  <c r="GK9" i="15"/>
  <c r="GJ9" i="15"/>
  <c r="GI9" i="15"/>
  <c r="GH9" i="15"/>
  <c r="GG9" i="15"/>
  <c r="GF9" i="15"/>
  <c r="GE9" i="15"/>
  <c r="GD9" i="15"/>
  <c r="GC9" i="15"/>
  <c r="GB9" i="15"/>
  <c r="GA9" i="15"/>
  <c r="FZ9" i="15"/>
  <c r="FY9" i="15"/>
  <c r="FX9" i="15"/>
  <c r="FW9" i="15"/>
  <c r="FV9" i="15"/>
  <c r="FU9" i="15"/>
  <c r="FT9" i="15"/>
  <c r="FS9" i="15"/>
  <c r="FR9" i="15"/>
  <c r="FQ9" i="15"/>
  <c r="FP9" i="15"/>
  <c r="FO9" i="15"/>
  <c r="FN9" i="15"/>
  <c r="FM9" i="15"/>
  <c r="FL9" i="15"/>
  <c r="FK9" i="15"/>
  <c r="FJ9" i="15"/>
  <c r="FI9" i="15"/>
  <c r="FH9" i="15"/>
  <c r="FG9" i="15"/>
  <c r="FF9" i="15"/>
  <c r="FE9" i="15"/>
  <c r="FD9" i="15"/>
  <c r="FC9" i="15"/>
  <c r="FB9" i="15"/>
  <c r="FA9" i="15"/>
  <c r="EZ9" i="15"/>
  <c r="EY9" i="15"/>
  <c r="EX9" i="15"/>
  <c r="EW9" i="15"/>
  <c r="EV9" i="15"/>
  <c r="EU9" i="15"/>
  <c r="ET9" i="15"/>
  <c r="ES9" i="15"/>
  <c r="ER9" i="15"/>
  <c r="EQ9" i="15"/>
  <c r="EP9" i="15"/>
  <c r="EO9" i="15"/>
  <c r="EN9" i="15"/>
  <c r="EM9" i="15"/>
  <c r="EL9" i="15"/>
  <c r="EK9" i="15"/>
  <c r="EJ9" i="15"/>
  <c r="EI9" i="15"/>
  <c r="EH9" i="15"/>
  <c r="EG9" i="15"/>
  <c r="EF9" i="15"/>
  <c r="EE9" i="15"/>
  <c r="ED9" i="15"/>
  <c r="EC9" i="15"/>
  <c r="EB9" i="15"/>
  <c r="EA9" i="15"/>
  <c r="DZ9" i="15"/>
  <c r="DY9" i="15"/>
  <c r="DX9" i="15"/>
  <c r="DW9" i="15"/>
  <c r="DV9" i="15"/>
  <c r="DU9" i="15"/>
  <c r="DT9" i="15"/>
  <c r="DS9" i="15"/>
  <c r="DR9" i="15"/>
  <c r="DQ9" i="15"/>
  <c r="DP9" i="15"/>
  <c r="DO9" i="15"/>
  <c r="DN9" i="15"/>
  <c r="DM9" i="15"/>
  <c r="DL9" i="15"/>
  <c r="DK9" i="15"/>
  <c r="DJ9" i="15"/>
  <c r="DI9" i="15"/>
  <c r="DH9" i="15"/>
  <c r="DG9" i="15"/>
  <c r="DF9" i="15"/>
  <c r="DE9" i="15"/>
  <c r="DD9" i="15"/>
  <c r="HE8" i="15"/>
  <c r="HD8" i="15"/>
  <c r="HB8" i="15"/>
  <c r="GY8" i="15"/>
  <c r="GX8" i="15"/>
  <c r="GW8" i="15"/>
  <c r="GV8" i="15"/>
  <c r="GU8" i="15"/>
  <c r="GT8" i="15"/>
  <c r="GS8" i="15"/>
  <c r="GR8" i="15"/>
  <c r="GQ8" i="15"/>
  <c r="GP8" i="15"/>
  <c r="GO8" i="15"/>
  <c r="GN8" i="15"/>
  <c r="GM8" i="15"/>
  <c r="GL8" i="15"/>
  <c r="GK8" i="15"/>
  <c r="GJ8" i="15"/>
  <c r="GI8" i="15"/>
  <c r="GH8" i="15"/>
  <c r="GG8" i="15"/>
  <c r="GF8" i="15"/>
  <c r="GE8" i="15"/>
  <c r="GD8" i="15"/>
  <c r="GC8" i="15"/>
  <c r="GB8" i="15"/>
  <c r="GA8" i="15"/>
  <c r="FZ8" i="15"/>
  <c r="FY8" i="15"/>
  <c r="FX8" i="15"/>
  <c r="FW8" i="15"/>
  <c r="FV8" i="15"/>
  <c r="FU8" i="15"/>
  <c r="FT8" i="15"/>
  <c r="FS8" i="15"/>
  <c r="FR8" i="15"/>
  <c r="FQ8" i="15"/>
  <c r="FP8" i="15"/>
  <c r="FO8" i="15"/>
  <c r="FN8" i="15"/>
  <c r="FM8" i="15"/>
  <c r="FL8" i="15"/>
  <c r="FK8" i="15"/>
  <c r="FJ8" i="15"/>
  <c r="FI8" i="15"/>
  <c r="FH8" i="15"/>
  <c r="FG8" i="15"/>
  <c r="FF8" i="15"/>
  <c r="FE8" i="15"/>
  <c r="FD8" i="15"/>
  <c r="FC8" i="15"/>
  <c r="FB8" i="15"/>
  <c r="FA8" i="15"/>
  <c r="EZ8" i="15"/>
  <c r="EY8" i="15"/>
  <c r="EX8" i="15"/>
  <c r="EW8" i="15"/>
  <c r="EV8" i="15"/>
  <c r="EU8" i="15"/>
  <c r="ET8" i="15"/>
  <c r="ES8" i="15"/>
  <c r="ER8" i="15"/>
  <c r="EQ8" i="15"/>
  <c r="EP8" i="15"/>
  <c r="EO8" i="15"/>
  <c r="EN8" i="15"/>
  <c r="EM8" i="15"/>
  <c r="EL8" i="15"/>
  <c r="EK8" i="15"/>
  <c r="EJ8" i="15"/>
  <c r="EI8" i="15"/>
  <c r="EH8" i="15"/>
  <c r="EG8" i="15"/>
  <c r="EF8" i="15"/>
  <c r="EE8" i="15"/>
  <c r="ED8" i="15"/>
  <c r="EC8" i="15"/>
  <c r="EB8" i="15"/>
  <c r="EA8" i="15"/>
  <c r="DZ8" i="15"/>
  <c r="DY8" i="15"/>
  <c r="DX8" i="15"/>
  <c r="DW8" i="15"/>
  <c r="DV8" i="15"/>
  <c r="DU8" i="15"/>
  <c r="DT8" i="15"/>
  <c r="DS8" i="15"/>
  <c r="DR8" i="15"/>
  <c r="DQ8" i="15"/>
  <c r="DP8" i="15"/>
  <c r="DO8" i="15"/>
  <c r="DN8" i="15"/>
  <c r="DM8" i="15"/>
  <c r="DL8" i="15"/>
  <c r="DK8" i="15"/>
  <c r="DJ8" i="15"/>
  <c r="DI8" i="15"/>
  <c r="DH8" i="15"/>
  <c r="DG8" i="15"/>
  <c r="DF8" i="15"/>
  <c r="DE8" i="15"/>
  <c r="DD8" i="15"/>
  <c r="HE7" i="15"/>
  <c r="HD7" i="15"/>
  <c r="HB7" i="15"/>
  <c r="GY7" i="15"/>
  <c r="GX7" i="15"/>
  <c r="GW7" i="15"/>
  <c r="GV7" i="15"/>
  <c r="GU7" i="15"/>
  <c r="GT7" i="15"/>
  <c r="GS7" i="15"/>
  <c r="GR7" i="15"/>
  <c r="GQ7" i="15"/>
  <c r="GP7" i="15"/>
  <c r="GO7" i="15"/>
  <c r="GN7" i="15"/>
  <c r="GM7" i="15"/>
  <c r="GL7" i="15"/>
  <c r="GK7" i="15"/>
  <c r="GJ7" i="15"/>
  <c r="GI7" i="15"/>
  <c r="GH7" i="15"/>
  <c r="GG7" i="15"/>
  <c r="GF7" i="15"/>
  <c r="GE7" i="15"/>
  <c r="GD7" i="15"/>
  <c r="GC7" i="15"/>
  <c r="GB7" i="15"/>
  <c r="GA7" i="15"/>
  <c r="FZ7" i="15"/>
  <c r="FY7" i="15"/>
  <c r="FX7" i="15"/>
  <c r="FW7" i="15"/>
  <c r="FV7" i="15"/>
  <c r="FU7" i="15"/>
  <c r="FT7" i="15"/>
  <c r="FS7" i="15"/>
  <c r="FR7" i="15"/>
  <c r="FQ7" i="15"/>
  <c r="FP7" i="15"/>
  <c r="FO7" i="15"/>
  <c r="FN7" i="15"/>
  <c r="FM7" i="15"/>
  <c r="FL7" i="15"/>
  <c r="FK7" i="15"/>
  <c r="FJ7" i="15"/>
  <c r="FI7" i="15"/>
  <c r="FH7" i="15"/>
  <c r="FG7" i="15"/>
  <c r="FF7" i="15"/>
  <c r="FE7" i="15"/>
  <c r="FD7" i="15"/>
  <c r="FC7" i="15"/>
  <c r="FB7" i="15"/>
  <c r="FA7" i="15"/>
  <c r="EZ7" i="15"/>
  <c r="EY7" i="15"/>
  <c r="EX7" i="15"/>
  <c r="EW7" i="15"/>
  <c r="EV7" i="15"/>
  <c r="EU7" i="15"/>
  <c r="ET7" i="15"/>
  <c r="ES7" i="15"/>
  <c r="ER7" i="15"/>
  <c r="EQ7" i="15"/>
  <c r="EP7" i="15"/>
  <c r="EO7" i="15"/>
  <c r="EN7" i="15"/>
  <c r="EM7" i="15"/>
  <c r="EL7" i="15"/>
  <c r="EK7" i="15"/>
  <c r="EJ7" i="15"/>
  <c r="EI7" i="15"/>
  <c r="EH7" i="15"/>
  <c r="EG7" i="15"/>
  <c r="EF7" i="15"/>
  <c r="EE7" i="15"/>
  <c r="ED7" i="15"/>
  <c r="EC7" i="15"/>
  <c r="EB7" i="15"/>
  <c r="EA7" i="15"/>
  <c r="DZ7" i="15"/>
  <c r="DY7" i="15"/>
  <c r="DX7" i="15"/>
  <c r="DW7" i="15"/>
  <c r="DV7" i="15"/>
  <c r="DU7" i="15"/>
  <c r="DT7" i="15"/>
  <c r="DS7" i="15"/>
  <c r="DR7" i="15"/>
  <c r="DQ7" i="15"/>
  <c r="DP7" i="15"/>
  <c r="DO7" i="15"/>
  <c r="DN7" i="15"/>
  <c r="DM7" i="15"/>
  <c r="DL7" i="15"/>
  <c r="DK7" i="15"/>
  <c r="DJ7" i="15"/>
  <c r="DI7" i="15"/>
  <c r="DH7" i="15"/>
  <c r="DG7" i="15"/>
  <c r="DF7" i="15"/>
  <c r="DE7" i="15"/>
  <c r="DD7" i="15"/>
  <c r="HE6" i="15"/>
  <c r="HD6" i="15"/>
  <c r="HB6" i="15"/>
  <c r="GY6" i="15"/>
  <c r="GX6" i="15"/>
  <c r="GW6" i="15"/>
  <c r="GV6" i="15"/>
  <c r="GU6" i="15"/>
  <c r="GT6" i="15"/>
  <c r="GS6" i="15"/>
  <c r="GR6" i="15"/>
  <c r="GQ6" i="15"/>
  <c r="GP6" i="15"/>
  <c r="GO6" i="15"/>
  <c r="GN6" i="15"/>
  <c r="GM6" i="15"/>
  <c r="GL6" i="15"/>
  <c r="GK6" i="15"/>
  <c r="GJ6" i="15"/>
  <c r="GI6" i="15"/>
  <c r="GH6" i="15"/>
  <c r="GG6" i="15"/>
  <c r="GF6" i="15"/>
  <c r="GE6" i="15"/>
  <c r="GD6" i="15"/>
  <c r="GC6" i="15"/>
  <c r="GB6" i="15"/>
  <c r="GA6" i="15"/>
  <c r="FZ6" i="15"/>
  <c r="FY6" i="15"/>
  <c r="FX6" i="15"/>
  <c r="FW6" i="15"/>
  <c r="FV6" i="15"/>
  <c r="FU6" i="15"/>
  <c r="FT6" i="15"/>
  <c r="FS6" i="15"/>
  <c r="FR6" i="15"/>
  <c r="FQ6" i="15"/>
  <c r="FP6" i="15"/>
  <c r="FO6" i="15"/>
  <c r="FN6" i="15"/>
  <c r="FM6" i="15"/>
  <c r="FL6" i="15"/>
  <c r="FK6" i="15"/>
  <c r="FJ6" i="15"/>
  <c r="FI6" i="15"/>
  <c r="FH6" i="15"/>
  <c r="FG6" i="15"/>
  <c r="FF6" i="15"/>
  <c r="FE6" i="15"/>
  <c r="FD6" i="15"/>
  <c r="FC6" i="15"/>
  <c r="FB6" i="15"/>
  <c r="FA6" i="15"/>
  <c r="EZ6" i="15"/>
  <c r="EY6" i="15"/>
  <c r="EX6" i="15"/>
  <c r="EW6" i="15"/>
  <c r="EV6" i="15"/>
  <c r="EU6" i="15"/>
  <c r="ET6" i="15"/>
  <c r="ES6" i="15"/>
  <c r="ER6" i="15"/>
  <c r="EQ6" i="15"/>
  <c r="EP6" i="15"/>
  <c r="EO6" i="15"/>
  <c r="EN6" i="15"/>
  <c r="EM6" i="15"/>
  <c r="EL6" i="15"/>
  <c r="EK6" i="15"/>
  <c r="EJ6" i="15"/>
  <c r="EI6" i="15"/>
  <c r="EH6" i="15"/>
  <c r="EG6" i="15"/>
  <c r="EF6" i="15"/>
  <c r="EE6" i="15"/>
  <c r="ED6" i="15"/>
  <c r="EC6" i="15"/>
  <c r="EB6" i="15"/>
  <c r="EA6" i="15"/>
  <c r="DZ6" i="15"/>
  <c r="DY6" i="15"/>
  <c r="DX6" i="15"/>
  <c r="DW6" i="15"/>
  <c r="DV6" i="15"/>
  <c r="DU6" i="15"/>
  <c r="DT6" i="15"/>
  <c r="DS6" i="15"/>
  <c r="DR6" i="15"/>
  <c r="DQ6" i="15"/>
  <c r="DP6" i="15"/>
  <c r="DO6" i="15"/>
  <c r="DN6" i="15"/>
  <c r="DM6" i="15"/>
  <c r="DL6" i="15"/>
  <c r="DK6" i="15"/>
  <c r="DJ6" i="15"/>
  <c r="DI6" i="15"/>
  <c r="DH6" i="15"/>
  <c r="DG6" i="15"/>
  <c r="DF6" i="15"/>
  <c r="DE6" i="15"/>
  <c r="DD6" i="15"/>
  <c r="HN2" i="15"/>
  <c r="HM2" i="15"/>
  <c r="HJ2" i="15"/>
  <c r="HK2" i="15"/>
  <c r="HE5" i="15"/>
  <c r="HD5" i="15"/>
  <c r="HA20" i="15" l="1"/>
  <c r="HA19" i="15"/>
  <c r="HA18" i="15"/>
  <c r="HA17" i="15"/>
  <c r="HA16" i="15"/>
  <c r="HA15" i="15"/>
  <c r="HA14" i="15"/>
  <c r="HA13" i="15"/>
  <c r="HA12" i="15"/>
  <c r="HA11" i="15"/>
  <c r="HA10" i="15"/>
  <c r="HA9" i="15"/>
  <c r="HA8" i="15"/>
  <c r="HA7" i="15"/>
  <c r="HA6" i="15"/>
  <c r="HE2" i="15"/>
  <c r="HD2" i="15"/>
  <c r="C29" i="17" l="1"/>
  <c r="C30" i="17"/>
  <c r="G2" i="13"/>
  <c r="C32" i="17" s="1"/>
  <c r="C5" i="12"/>
  <c r="C28" i="17" l="1"/>
  <c r="HB5" i="15" l="1"/>
  <c r="HB2" i="15" s="1"/>
  <c r="GY5" i="15"/>
  <c r="GX5" i="15"/>
  <c r="GW5" i="15"/>
  <c r="GW2" i="15" s="1"/>
  <c r="GV5" i="15"/>
  <c r="GU5" i="15"/>
  <c r="GU2" i="15" s="1"/>
  <c r="GT5" i="15"/>
  <c r="GT2" i="15" s="1"/>
  <c r="GS5" i="15"/>
  <c r="GS2" i="15" s="1"/>
  <c r="GR5" i="15"/>
  <c r="GQ5" i="15"/>
  <c r="GQ2" i="15" s="1"/>
  <c r="GP5" i="15"/>
  <c r="GP2" i="15" s="1"/>
  <c r="GO5" i="15"/>
  <c r="GO2" i="15" s="1"/>
  <c r="GN5" i="15"/>
  <c r="GM5" i="15"/>
  <c r="GM2" i="15" s="1"/>
  <c r="GL5" i="15"/>
  <c r="GL2" i="15" s="1"/>
  <c r="GK5" i="15"/>
  <c r="GK2" i="15" s="1"/>
  <c r="GJ5" i="15"/>
  <c r="GI5" i="15"/>
  <c r="GI2" i="15" s="1"/>
  <c r="GH5" i="15"/>
  <c r="GH2" i="15" s="1"/>
  <c r="GG5" i="15"/>
  <c r="GG2" i="15" s="1"/>
  <c r="GF5" i="15"/>
  <c r="GE5" i="15"/>
  <c r="GE2" i="15" s="1"/>
  <c r="GD5" i="15"/>
  <c r="GD2" i="15" s="1"/>
  <c r="GC5" i="15"/>
  <c r="GC2" i="15" s="1"/>
  <c r="GB5" i="15"/>
  <c r="GA5" i="15"/>
  <c r="GA2" i="15" s="1"/>
  <c r="FZ5" i="15"/>
  <c r="FZ2" i="15" s="1"/>
  <c r="FY5" i="15"/>
  <c r="FY2" i="15" s="1"/>
  <c r="FX5" i="15"/>
  <c r="FW5" i="15"/>
  <c r="FW2" i="15" s="1"/>
  <c r="FV5" i="15"/>
  <c r="FV2" i="15" s="1"/>
  <c r="FU5" i="15"/>
  <c r="FU2" i="15" s="1"/>
  <c r="FT5" i="15"/>
  <c r="FS5" i="15"/>
  <c r="FS2" i="15" s="1"/>
  <c r="FR5" i="15"/>
  <c r="FR2" i="15" s="1"/>
  <c r="FQ5" i="15"/>
  <c r="FQ2" i="15" s="1"/>
  <c r="FP5" i="15"/>
  <c r="FO5" i="15"/>
  <c r="FO2" i="15" s="1"/>
  <c r="FN5" i="15"/>
  <c r="FN2" i="15" s="1"/>
  <c r="FM5" i="15"/>
  <c r="FM2" i="15" s="1"/>
  <c r="FL5" i="15"/>
  <c r="FK5" i="15"/>
  <c r="FK2" i="15" s="1"/>
  <c r="FJ5" i="15"/>
  <c r="FJ2" i="15" s="1"/>
  <c r="FI5" i="15"/>
  <c r="FI2" i="15" s="1"/>
  <c r="FH5" i="15"/>
  <c r="FG5" i="15"/>
  <c r="FG2" i="15" s="1"/>
  <c r="FF5" i="15"/>
  <c r="FF2" i="15" s="1"/>
  <c r="FE5" i="15"/>
  <c r="FE2" i="15" s="1"/>
  <c r="FD5" i="15"/>
  <c r="FC5" i="15"/>
  <c r="FC2" i="15" s="1"/>
  <c r="FB5" i="15"/>
  <c r="FB2" i="15" s="1"/>
  <c r="FA5" i="15"/>
  <c r="FA2" i="15" s="1"/>
  <c r="EZ5" i="15"/>
  <c r="EY5" i="15"/>
  <c r="EY2" i="15" s="1"/>
  <c r="EX5" i="15"/>
  <c r="EX2" i="15" s="1"/>
  <c r="EW5" i="15"/>
  <c r="EW2" i="15" s="1"/>
  <c r="EV5" i="15"/>
  <c r="EU5" i="15"/>
  <c r="EU2" i="15" s="1"/>
  <c r="ET5" i="15"/>
  <c r="ET2" i="15" s="1"/>
  <c r="ES5" i="15"/>
  <c r="ES2" i="15" s="1"/>
  <c r="ER5" i="15"/>
  <c r="EQ5" i="15"/>
  <c r="EQ2" i="15" s="1"/>
  <c r="EP5" i="15"/>
  <c r="EP2" i="15" s="1"/>
  <c r="EO5" i="15"/>
  <c r="EO2" i="15" s="1"/>
  <c r="EN5" i="15"/>
  <c r="EM5" i="15"/>
  <c r="EM2" i="15" s="1"/>
  <c r="EL5" i="15"/>
  <c r="EL2" i="15" s="1"/>
  <c r="EK5" i="15"/>
  <c r="EK2" i="15" s="1"/>
  <c r="EJ5" i="15"/>
  <c r="EI5" i="15"/>
  <c r="EI2" i="15" s="1"/>
  <c r="EH5" i="15"/>
  <c r="EH2" i="15" s="1"/>
  <c r="EG5" i="15"/>
  <c r="EG2" i="15" s="1"/>
  <c r="EF5" i="15"/>
  <c r="EE5" i="15"/>
  <c r="EE2" i="15" s="1"/>
  <c r="ED5" i="15"/>
  <c r="ED2" i="15" s="1"/>
  <c r="EC5" i="15"/>
  <c r="EC2" i="15" s="1"/>
  <c r="EB5" i="15"/>
  <c r="EA5" i="15"/>
  <c r="EA2" i="15" s="1"/>
  <c r="DZ5" i="15"/>
  <c r="DZ2" i="15" s="1"/>
  <c r="DY5" i="15"/>
  <c r="DY2" i="15" s="1"/>
  <c r="DX5" i="15"/>
  <c r="DW5" i="15"/>
  <c r="DW2" i="15" s="1"/>
  <c r="DV5" i="15"/>
  <c r="DV2" i="15" s="1"/>
  <c r="DU5" i="15"/>
  <c r="DU2" i="15" s="1"/>
  <c r="DT5" i="15"/>
  <c r="DS5" i="15"/>
  <c r="DS2" i="15" s="1"/>
  <c r="DR5" i="15"/>
  <c r="DR2" i="15" s="1"/>
  <c r="DQ5" i="15"/>
  <c r="DQ2" i="15" s="1"/>
  <c r="DP5" i="15"/>
  <c r="DO5" i="15"/>
  <c r="DO2" i="15" s="1"/>
  <c r="DN5" i="15"/>
  <c r="DN2" i="15" s="1"/>
  <c r="DM5" i="15"/>
  <c r="DM2" i="15" s="1"/>
  <c r="DL5" i="15"/>
  <c r="DK5" i="15"/>
  <c r="DK2" i="15" s="1"/>
  <c r="DJ5" i="15"/>
  <c r="DJ2" i="15" s="1"/>
  <c r="DI5" i="15"/>
  <c r="DI2" i="15" s="1"/>
  <c r="DH5" i="15"/>
  <c r="DG5" i="15"/>
  <c r="DG2" i="15" s="1"/>
  <c r="DF5" i="15"/>
  <c r="DF2" i="15" s="1"/>
  <c r="DE5" i="15"/>
  <c r="DE2" i="15" s="1"/>
  <c r="DD5" i="15"/>
  <c r="GY2" i="15"/>
  <c r="GX2" i="15"/>
  <c r="HG2" i="15" l="1"/>
  <c r="D17" i="17" s="1"/>
  <c r="HH2" i="15"/>
  <c r="D20" i="17" s="1"/>
  <c r="DH2" i="15"/>
  <c r="DL2" i="15"/>
  <c r="DP2" i="15"/>
  <c r="DT2" i="15"/>
  <c r="DX2" i="15"/>
  <c r="EB2" i="15"/>
  <c r="EF2" i="15"/>
  <c r="EJ2" i="15"/>
  <c r="EN2" i="15"/>
  <c r="ER2" i="15"/>
  <c r="EV2" i="15"/>
  <c r="EZ2" i="15"/>
  <c r="FD2" i="15"/>
  <c r="FH2" i="15"/>
  <c r="FL2" i="15"/>
  <c r="FP2" i="15"/>
  <c r="FT2" i="15"/>
  <c r="FX2" i="15"/>
  <c r="GB2" i="15"/>
  <c r="GF2" i="15"/>
  <c r="GJ2" i="15"/>
  <c r="GN2" i="15"/>
  <c r="GR2" i="15"/>
  <c r="GV2" i="15"/>
  <c r="DD2" i="15"/>
  <c r="HA5" i="15"/>
  <c r="D4" i="18"/>
  <c r="C15" i="18"/>
  <c r="C16" i="18" s="1"/>
  <c r="C17" i="18" s="1"/>
  <c r="C18" i="18" s="1"/>
  <c r="C19" i="18" s="1"/>
  <c r="C20" i="18" s="1"/>
  <c r="C21" i="18" s="1"/>
  <c r="C22" i="18" s="1"/>
  <c r="C23" i="18" s="1"/>
  <c r="C24" i="18" s="1"/>
  <c r="C25" i="18" s="1"/>
  <c r="C26" i="18" s="1"/>
  <c r="C27" i="18" s="1"/>
  <c r="C28" i="18" s="1"/>
  <c r="C29" i="18" s="1"/>
  <c r="C30" i="18" s="1"/>
  <c r="C31" i="18" s="1"/>
  <c r="C32" i="18" s="1"/>
  <c r="C33" i="18" s="1"/>
  <c r="C34" i="18" s="1"/>
  <c r="C35" i="18" s="1"/>
  <c r="C36" i="18" s="1"/>
  <c r="C37" i="18" s="1"/>
  <c r="C38" i="18" s="1"/>
  <c r="C39" i="18" s="1"/>
  <c r="C40" i="18" s="1"/>
  <c r="C41" i="18" s="1"/>
  <c r="C42" i="18" s="1"/>
  <c r="C43" i="18" s="1"/>
  <c r="C44" i="18" s="1"/>
  <c r="C45" i="18" s="1"/>
  <c r="C46" i="18" s="1"/>
  <c r="C47" i="18" s="1"/>
  <c r="C48" i="18" s="1"/>
  <c r="C49" i="18" s="1"/>
  <c r="C50" i="18" s="1"/>
  <c r="C51" i="18" s="1"/>
  <c r="C52" i="18" s="1"/>
  <c r="C53" i="18" s="1"/>
  <c r="C54" i="18" s="1"/>
  <c r="C55" i="18" s="1"/>
  <c r="C56" i="18" s="1"/>
  <c r="C57" i="18" s="1"/>
  <c r="C58" i="18" s="1"/>
  <c r="C59" i="18" s="1"/>
  <c r="C60" i="18" s="1"/>
  <c r="C61" i="18" s="1"/>
  <c r="C62" i="18" s="1"/>
  <c r="C63" i="18" s="1"/>
  <c r="C64" i="18" s="1"/>
  <c r="H14" i="18"/>
  <c r="HA2" i="15" l="1"/>
  <c r="U1" i="13" s="1"/>
  <c r="L13" i="16"/>
  <c r="G14" i="16"/>
  <c r="G15" i="16" s="1"/>
  <c r="G16" i="16" s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C24" i="17" l="1"/>
  <c r="C6" i="17" s="1"/>
  <c r="D6" i="17" s="1"/>
  <c r="B36" i="17"/>
  <c r="B37" i="17" l="1"/>
  <c r="CZ21" i="15"/>
  <c r="CZ20" i="15"/>
  <c r="CZ19" i="15"/>
  <c r="CZ18" i="15"/>
  <c r="CZ17" i="15"/>
  <c r="CZ16" i="15"/>
  <c r="CZ15" i="15"/>
  <c r="CZ14" i="15"/>
  <c r="CZ13" i="15"/>
  <c r="CZ12" i="15"/>
  <c r="CZ11" i="15"/>
  <c r="CZ10" i="15"/>
  <c r="CZ9" i="15"/>
  <c r="CZ8" i="15"/>
  <c r="CZ7" i="15"/>
  <c r="CZ6" i="15"/>
  <c r="CZ5" i="15"/>
  <c r="CY21" i="15"/>
  <c r="CY20" i="15"/>
  <c r="CY19" i="15"/>
  <c r="CY18" i="15"/>
  <c r="CY17" i="15"/>
  <c r="CY16" i="15"/>
  <c r="CY15" i="15"/>
  <c r="CY14" i="15"/>
  <c r="CY13" i="15"/>
  <c r="CY11" i="15"/>
  <c r="CY10" i="15"/>
  <c r="CY9" i="15"/>
  <c r="CY8" i="15"/>
  <c r="CY7" i="15"/>
  <c r="CY6" i="15"/>
  <c r="CY5" i="15"/>
  <c r="CY12" i="15"/>
  <c r="U21" i="13"/>
  <c r="T21" i="13"/>
  <c r="S21" i="13"/>
  <c r="R21" i="13"/>
  <c r="U20" i="13"/>
  <c r="T20" i="13"/>
  <c r="S20" i="13"/>
  <c r="R20" i="13"/>
  <c r="U19" i="13"/>
  <c r="T19" i="13"/>
  <c r="S19" i="13"/>
  <c r="R19" i="13"/>
  <c r="U18" i="13"/>
  <c r="T18" i="13"/>
  <c r="S18" i="13"/>
  <c r="R18" i="13"/>
  <c r="U17" i="13"/>
  <c r="T17" i="13"/>
  <c r="S17" i="13"/>
  <c r="R17" i="13"/>
  <c r="U16" i="13"/>
  <c r="T16" i="13"/>
  <c r="S16" i="13"/>
  <c r="R16" i="13"/>
  <c r="U15" i="13"/>
  <c r="T15" i="13"/>
  <c r="S15" i="13"/>
  <c r="R15" i="13"/>
  <c r="U14" i="13"/>
  <c r="T14" i="13"/>
  <c r="S14" i="13"/>
  <c r="R14" i="13"/>
  <c r="U13" i="13"/>
  <c r="T13" i="13"/>
  <c r="S13" i="13"/>
  <c r="R13" i="13"/>
  <c r="U12" i="13"/>
  <c r="T12" i="13"/>
  <c r="S12" i="13"/>
  <c r="R12" i="13"/>
  <c r="U11" i="13"/>
  <c r="T11" i="13"/>
  <c r="S11" i="13"/>
  <c r="R11" i="13"/>
  <c r="U10" i="13"/>
  <c r="T10" i="13"/>
  <c r="S10" i="13"/>
  <c r="R10" i="13"/>
  <c r="U9" i="13"/>
  <c r="T9" i="13"/>
  <c r="S9" i="13"/>
  <c r="R9" i="13"/>
  <c r="U8" i="13"/>
  <c r="T8" i="13"/>
  <c r="S8" i="13"/>
  <c r="R8" i="13"/>
  <c r="U7" i="13"/>
  <c r="T7" i="13"/>
  <c r="S7" i="13"/>
  <c r="R7" i="13"/>
  <c r="U6" i="13"/>
  <c r="T6" i="13"/>
  <c r="S6" i="13"/>
  <c r="R6" i="13"/>
  <c r="U5" i="13"/>
  <c r="T5" i="13"/>
  <c r="S5" i="13"/>
  <c r="R5" i="13"/>
  <c r="CW2" i="15"/>
  <c r="CV2" i="15"/>
  <c r="CU2" i="15"/>
  <c r="CT2" i="15"/>
  <c r="CS2" i="15"/>
  <c r="CR2" i="15"/>
  <c r="CQ2" i="15"/>
  <c r="CP2" i="15"/>
  <c r="CO2" i="15"/>
  <c r="CN2" i="15"/>
  <c r="CM2" i="15"/>
  <c r="CL2" i="15"/>
  <c r="CK2" i="15"/>
  <c r="CJ2" i="15"/>
  <c r="CI2" i="15"/>
  <c r="CH2" i="15"/>
  <c r="CG2" i="15"/>
  <c r="CF2" i="15"/>
  <c r="CE2" i="15"/>
  <c r="CD2" i="15"/>
  <c r="CC2" i="15"/>
  <c r="CB2" i="15"/>
  <c r="CA2" i="15"/>
  <c r="BZ2" i="15"/>
  <c r="BY2" i="15"/>
  <c r="BX2" i="15"/>
  <c r="BW2" i="15"/>
  <c r="BV2" i="15"/>
  <c r="BU2" i="15"/>
  <c r="BT2" i="15"/>
  <c r="BS2" i="15"/>
  <c r="BR2" i="15"/>
  <c r="BQ2" i="15"/>
  <c r="BP2" i="15"/>
  <c r="BO2" i="15"/>
  <c r="BN2" i="15"/>
  <c r="BM2" i="15"/>
  <c r="BL2" i="15"/>
  <c r="BK2" i="15"/>
  <c r="BJ2" i="15"/>
  <c r="BI2" i="15"/>
  <c r="BH2" i="15"/>
  <c r="BG2" i="15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C2" i="15"/>
  <c r="B4" i="15"/>
  <c r="C4" i="15" s="1"/>
  <c r="D4" i="15" s="1"/>
  <c r="E4" i="15" s="1"/>
  <c r="F4" i="15" s="1"/>
  <c r="G4" i="15" s="1"/>
  <c r="H4" i="15" s="1"/>
  <c r="I4" i="15" s="1"/>
  <c r="J4" i="15" s="1"/>
  <c r="K4" i="15" s="1"/>
  <c r="L4" i="15" s="1"/>
  <c r="M4" i="15" s="1"/>
  <c r="N4" i="15" s="1"/>
  <c r="O4" i="15" s="1"/>
  <c r="P4" i="15" s="1"/>
  <c r="Q4" i="15" s="1"/>
  <c r="R4" i="15" s="1"/>
  <c r="S4" i="15" s="1"/>
  <c r="T4" i="15" s="1"/>
  <c r="U4" i="15" s="1"/>
  <c r="V4" i="15" s="1"/>
  <c r="W4" i="15" s="1"/>
  <c r="X4" i="15" s="1"/>
  <c r="Y4" i="15" s="1"/>
  <c r="Z4" i="15" s="1"/>
  <c r="AA4" i="15" s="1"/>
  <c r="AB4" i="15" s="1"/>
  <c r="AC4" i="15" s="1"/>
  <c r="AD4" i="15" s="1"/>
  <c r="AE4" i="15" s="1"/>
  <c r="AF4" i="15" s="1"/>
  <c r="AG4" i="15" s="1"/>
  <c r="AH4" i="15" s="1"/>
  <c r="AI4" i="15" s="1"/>
  <c r="AJ4" i="15" s="1"/>
  <c r="AK4" i="15" s="1"/>
  <c r="AL4" i="15" s="1"/>
  <c r="AM4" i="15" s="1"/>
  <c r="AN4" i="15" s="1"/>
  <c r="AO4" i="15" s="1"/>
  <c r="AP4" i="15" s="1"/>
  <c r="AQ4" i="15" s="1"/>
  <c r="AR4" i="15" s="1"/>
  <c r="AS4" i="15" s="1"/>
  <c r="AT4" i="15" s="1"/>
  <c r="AU4" i="15" s="1"/>
  <c r="AV4" i="15" s="1"/>
  <c r="AW4" i="15" s="1"/>
  <c r="AX4" i="15" s="1"/>
  <c r="AY4" i="15" s="1"/>
  <c r="AZ4" i="15" s="1"/>
  <c r="BA4" i="15" s="1"/>
  <c r="BB4" i="15" s="1"/>
  <c r="BC4" i="15" s="1"/>
  <c r="BD4" i="15" s="1"/>
  <c r="BE4" i="15" s="1"/>
  <c r="BF4" i="15" s="1"/>
  <c r="BG4" i="15" s="1"/>
  <c r="BH4" i="15" s="1"/>
  <c r="BI4" i="15" s="1"/>
  <c r="BJ4" i="15" s="1"/>
  <c r="BK4" i="15" s="1"/>
  <c r="BL4" i="15" s="1"/>
  <c r="BM4" i="15" s="1"/>
  <c r="BN4" i="15" s="1"/>
  <c r="BO4" i="15" s="1"/>
  <c r="BP4" i="15" s="1"/>
  <c r="BQ4" i="15" s="1"/>
  <c r="BR4" i="15" s="1"/>
  <c r="BS4" i="15" s="1"/>
  <c r="BT4" i="15" s="1"/>
  <c r="BU4" i="15" s="1"/>
  <c r="BV4" i="15" s="1"/>
  <c r="BW4" i="15" s="1"/>
  <c r="BX4" i="15" s="1"/>
  <c r="BY4" i="15" s="1"/>
  <c r="BZ4" i="15" s="1"/>
  <c r="CA4" i="15" s="1"/>
  <c r="CB4" i="15" s="1"/>
  <c r="CC4" i="15" s="1"/>
  <c r="CD4" i="15" s="1"/>
  <c r="CE4" i="15" s="1"/>
  <c r="CF4" i="15" s="1"/>
  <c r="CG4" i="15" s="1"/>
  <c r="CH4" i="15" s="1"/>
  <c r="CI4" i="15" s="1"/>
  <c r="CJ4" i="15" s="1"/>
  <c r="CK4" i="15" s="1"/>
  <c r="CL4" i="15" s="1"/>
  <c r="CM4" i="15" s="1"/>
  <c r="CN4" i="15" s="1"/>
  <c r="CO4" i="15" s="1"/>
  <c r="CP4" i="15" s="1"/>
  <c r="CQ4" i="15" s="1"/>
  <c r="CR4" i="15" s="1"/>
  <c r="CS4" i="15" s="1"/>
  <c r="CT4" i="15" s="1"/>
  <c r="CU4" i="15" s="1"/>
  <c r="CV4" i="15" s="1"/>
  <c r="CW4" i="15" s="1"/>
  <c r="B2" i="15"/>
  <c r="B1" i="15" l="1"/>
  <c r="DD4" i="15"/>
  <c r="DE4" i="15" s="1"/>
  <c r="DF4" i="15" s="1"/>
  <c r="DG4" i="15" s="1"/>
  <c r="DH4" i="15" s="1"/>
  <c r="DI4" i="15" s="1"/>
  <c r="DJ4" i="15" s="1"/>
  <c r="DK4" i="15" s="1"/>
  <c r="DL4" i="15" s="1"/>
  <c r="DM4" i="15" s="1"/>
  <c r="DN4" i="15" s="1"/>
  <c r="DO4" i="15" s="1"/>
  <c r="DP4" i="15" s="1"/>
  <c r="DQ4" i="15" s="1"/>
  <c r="DR4" i="15" s="1"/>
  <c r="DS4" i="15" s="1"/>
  <c r="DT4" i="15" s="1"/>
  <c r="DU4" i="15" s="1"/>
  <c r="DV4" i="15" s="1"/>
  <c r="DW4" i="15" s="1"/>
  <c r="DX4" i="15" s="1"/>
  <c r="DY4" i="15" s="1"/>
  <c r="DZ4" i="15" s="1"/>
  <c r="EA4" i="15" s="1"/>
  <c r="EB4" i="15" s="1"/>
  <c r="EC4" i="15" s="1"/>
  <c r="ED4" i="15" s="1"/>
  <c r="EE4" i="15" s="1"/>
  <c r="EF4" i="15" s="1"/>
  <c r="EG4" i="15" s="1"/>
  <c r="EH4" i="15" s="1"/>
  <c r="EI4" i="15" s="1"/>
  <c r="EJ4" i="15" s="1"/>
  <c r="EK4" i="15" s="1"/>
  <c r="EL4" i="15" s="1"/>
  <c r="EM4" i="15" s="1"/>
  <c r="EN4" i="15" s="1"/>
  <c r="EO4" i="15" s="1"/>
  <c r="EP4" i="15" s="1"/>
  <c r="EQ4" i="15" s="1"/>
  <c r="ER4" i="15" s="1"/>
  <c r="ES4" i="15" s="1"/>
  <c r="ET4" i="15" s="1"/>
  <c r="EU4" i="15" s="1"/>
  <c r="EV4" i="15" s="1"/>
  <c r="EW4" i="15" s="1"/>
  <c r="EX4" i="15" s="1"/>
  <c r="EY4" i="15" s="1"/>
  <c r="EZ4" i="15" s="1"/>
  <c r="FA4" i="15" s="1"/>
  <c r="FB4" i="15" s="1"/>
  <c r="FC4" i="15" s="1"/>
  <c r="FD4" i="15" s="1"/>
  <c r="FE4" i="15" s="1"/>
  <c r="FF4" i="15" s="1"/>
  <c r="FG4" i="15" s="1"/>
  <c r="FH4" i="15" s="1"/>
  <c r="FI4" i="15" s="1"/>
  <c r="FJ4" i="15" s="1"/>
  <c r="FK4" i="15" s="1"/>
  <c r="FL4" i="15" s="1"/>
  <c r="FM4" i="15" s="1"/>
  <c r="FN4" i="15" s="1"/>
  <c r="FO4" i="15" s="1"/>
  <c r="FP4" i="15" s="1"/>
  <c r="FQ4" i="15" s="1"/>
  <c r="FR4" i="15" s="1"/>
  <c r="FS4" i="15" s="1"/>
  <c r="FT4" i="15" s="1"/>
  <c r="FU4" i="15" s="1"/>
  <c r="FV4" i="15" s="1"/>
  <c r="FW4" i="15" s="1"/>
  <c r="FX4" i="15" s="1"/>
  <c r="FY4" i="15" s="1"/>
  <c r="FZ4" i="15" s="1"/>
  <c r="GA4" i="15" s="1"/>
  <c r="GB4" i="15" s="1"/>
  <c r="GC4" i="15" s="1"/>
  <c r="GD4" i="15" s="1"/>
  <c r="GE4" i="15" s="1"/>
  <c r="GF4" i="15" s="1"/>
  <c r="GG4" i="15" s="1"/>
  <c r="GH4" i="15" s="1"/>
  <c r="GI4" i="15" s="1"/>
  <c r="GJ4" i="15" s="1"/>
  <c r="GK4" i="15" s="1"/>
  <c r="GL4" i="15" s="1"/>
  <c r="GM4" i="15" s="1"/>
  <c r="GN4" i="15" s="1"/>
  <c r="GO4" i="15" s="1"/>
  <c r="GP4" i="15" s="1"/>
  <c r="GQ4" i="15" s="1"/>
  <c r="GR4" i="15" s="1"/>
  <c r="GS4" i="15" s="1"/>
  <c r="GT4" i="15" s="1"/>
  <c r="GU4" i="15" s="1"/>
  <c r="GV4" i="15" s="1"/>
  <c r="GW4" i="15" s="1"/>
  <c r="GX4" i="15" s="1"/>
  <c r="GY4" i="15" s="1"/>
  <c r="B38" i="17"/>
  <c r="S2" i="13"/>
  <c r="T2" i="13"/>
  <c r="U2" i="13"/>
  <c r="CY2" i="15"/>
  <c r="R2" i="13"/>
  <c r="C1" i="15" l="1"/>
  <c r="D1" i="15" s="1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AG1" i="15" s="1"/>
  <c r="AH1" i="15" s="1"/>
  <c r="AI1" i="15" s="1"/>
  <c r="AJ1" i="15" s="1"/>
  <c r="AK1" i="15" s="1"/>
  <c r="AL1" i="15" s="1"/>
  <c r="AM1" i="15" s="1"/>
  <c r="AN1" i="15" s="1"/>
  <c r="AO1" i="15" s="1"/>
  <c r="AP1" i="15" s="1"/>
  <c r="AQ1" i="15" s="1"/>
  <c r="AR1" i="15" s="1"/>
  <c r="AS1" i="15" s="1"/>
  <c r="AT1" i="15" s="1"/>
  <c r="AU1" i="15" s="1"/>
  <c r="AV1" i="15" s="1"/>
  <c r="AW1" i="15" s="1"/>
  <c r="AX1" i="15" s="1"/>
  <c r="AY1" i="15" s="1"/>
  <c r="C38" i="17" s="1"/>
  <c r="DD1" i="15"/>
  <c r="DE1" i="15" s="1"/>
  <c r="DF1" i="15" s="1"/>
  <c r="DG1" i="15" s="1"/>
  <c r="DH1" i="15" s="1"/>
  <c r="DI1" i="15" s="1"/>
  <c r="DJ1" i="15" s="1"/>
  <c r="DK1" i="15" s="1"/>
  <c r="DL1" i="15" s="1"/>
  <c r="DM1" i="15" s="1"/>
  <c r="DN1" i="15" s="1"/>
  <c r="DO1" i="15" s="1"/>
  <c r="DP1" i="15" s="1"/>
  <c r="DQ1" i="15" s="1"/>
  <c r="DR1" i="15" s="1"/>
  <c r="DS1" i="15" s="1"/>
  <c r="DT1" i="15" s="1"/>
  <c r="DU1" i="15" s="1"/>
  <c r="DV1" i="15" s="1"/>
  <c r="DW1" i="15" s="1"/>
  <c r="DX1" i="15" s="1"/>
  <c r="DY1" i="15" s="1"/>
  <c r="DZ1" i="15" s="1"/>
  <c r="EA1" i="15" s="1"/>
  <c r="EB1" i="15" s="1"/>
  <c r="EC1" i="15" s="1"/>
  <c r="ED1" i="15" s="1"/>
  <c r="EE1" i="15" s="1"/>
  <c r="EF1" i="15" s="1"/>
  <c r="EG1" i="15" s="1"/>
  <c r="EH1" i="15" s="1"/>
  <c r="EI1" i="15" s="1"/>
  <c r="EJ1" i="15" s="1"/>
  <c r="EK1" i="15" s="1"/>
  <c r="EL1" i="15" s="1"/>
  <c r="EM1" i="15" s="1"/>
  <c r="EN1" i="15" s="1"/>
  <c r="EO1" i="15" s="1"/>
  <c r="EP1" i="15" s="1"/>
  <c r="EQ1" i="15" s="1"/>
  <c r="ER1" i="15" s="1"/>
  <c r="ES1" i="15" s="1"/>
  <c r="ET1" i="15" s="1"/>
  <c r="EU1" i="15" s="1"/>
  <c r="EV1" i="15" s="1"/>
  <c r="EW1" i="15" s="1"/>
  <c r="EX1" i="15" s="1"/>
  <c r="EY1" i="15" s="1"/>
  <c r="EZ1" i="15" s="1"/>
  <c r="FA1" i="15" s="1"/>
  <c r="D38" i="17" s="1"/>
  <c r="B39" i="17"/>
  <c r="O9" i="12"/>
  <c r="O12" i="12" s="1"/>
  <c r="P12" i="12" s="1"/>
  <c r="Q12" i="12" s="1"/>
  <c r="R12" i="12" s="1"/>
  <c r="S12" i="12" s="1"/>
  <c r="T12" i="12" s="1"/>
  <c r="U12" i="12" s="1"/>
  <c r="V12" i="12" s="1"/>
  <c r="W12" i="12" s="1"/>
  <c r="X12" i="12" s="1"/>
  <c r="Y12" i="12" s="1"/>
  <c r="Z12" i="12" s="1"/>
  <c r="AA12" i="12" s="1"/>
  <c r="AB12" i="12" s="1"/>
  <c r="AC12" i="12" s="1"/>
  <c r="AD12" i="12" s="1"/>
  <c r="AE12" i="12" s="1"/>
  <c r="AF12" i="12" s="1"/>
  <c r="AG12" i="12" s="1"/>
  <c r="AH12" i="12" s="1"/>
  <c r="AI12" i="12" s="1"/>
  <c r="AJ12" i="12" s="1"/>
  <c r="AK12" i="12" s="1"/>
  <c r="AL12" i="12" s="1"/>
  <c r="AM12" i="12" s="1"/>
  <c r="AN12" i="12" s="1"/>
  <c r="AO12" i="12" s="1"/>
  <c r="AP12" i="12" s="1"/>
  <c r="AQ12" i="12" s="1"/>
  <c r="AR12" i="12" s="1"/>
  <c r="AS12" i="12" s="1"/>
  <c r="AT12" i="12" s="1"/>
  <c r="AU12" i="12" s="1"/>
  <c r="AV12" i="12" s="1"/>
  <c r="AW12" i="12" s="1"/>
  <c r="AX12" i="12" s="1"/>
  <c r="AY12" i="12" s="1"/>
  <c r="AZ12" i="12" s="1"/>
  <c r="BA12" i="12" s="1"/>
  <c r="BB12" i="12" s="1"/>
  <c r="BC12" i="12" s="1"/>
  <c r="BD12" i="12" s="1"/>
  <c r="BE12" i="12" s="1"/>
  <c r="BF12" i="12" s="1"/>
  <c r="BG12" i="12" s="1"/>
  <c r="BH12" i="12" s="1"/>
  <c r="BI12" i="12" s="1"/>
  <c r="BJ12" i="12" s="1"/>
  <c r="BK12" i="12" s="1"/>
  <c r="BL12" i="12" s="1"/>
  <c r="BM12" i="12" s="1"/>
  <c r="BN12" i="12" s="1"/>
  <c r="BO12" i="12" s="1"/>
  <c r="BP12" i="12" s="1"/>
  <c r="BQ12" i="12" s="1"/>
  <c r="BR12" i="12" s="1"/>
  <c r="BS12" i="12" s="1"/>
  <c r="BT12" i="12" s="1"/>
  <c r="BU12" i="12" s="1"/>
  <c r="BV12" i="12" s="1"/>
  <c r="BW12" i="12" s="1"/>
  <c r="BX12" i="12" s="1"/>
  <c r="BY12" i="12" s="1"/>
  <c r="BZ12" i="12" s="1"/>
  <c r="CA12" i="12" s="1"/>
  <c r="CB12" i="12" s="1"/>
  <c r="CC12" i="12" s="1"/>
  <c r="CD12" i="12" s="1"/>
  <c r="CE12" i="12" s="1"/>
  <c r="CF12" i="12" s="1"/>
  <c r="CG12" i="12" s="1"/>
  <c r="CH12" i="12" s="1"/>
  <c r="CI12" i="12" s="1"/>
  <c r="CJ12" i="12" s="1"/>
  <c r="CK12" i="12" s="1"/>
  <c r="CL12" i="12" s="1"/>
  <c r="CM12" i="12" s="1"/>
  <c r="CN12" i="12" s="1"/>
  <c r="CO12" i="12" s="1"/>
  <c r="CP12" i="12" s="1"/>
  <c r="CQ12" i="12" s="1"/>
  <c r="CR12" i="12" s="1"/>
  <c r="CS12" i="12" s="1"/>
  <c r="CT12" i="12" s="1"/>
  <c r="CU12" i="12" s="1"/>
  <c r="CV12" i="12" s="1"/>
  <c r="CW12" i="12" s="1"/>
  <c r="CX12" i="12" s="1"/>
  <c r="CY12" i="12" s="1"/>
  <c r="CZ12" i="12" s="1"/>
  <c r="DA12" i="12" s="1"/>
  <c r="DB12" i="12" s="1"/>
  <c r="DC12" i="12" s="1"/>
  <c r="DD12" i="12" s="1"/>
  <c r="DE12" i="12" s="1"/>
  <c r="DF12" i="12" s="1"/>
  <c r="DG12" i="12" s="1"/>
  <c r="DH12" i="12" s="1"/>
  <c r="DI12" i="12" s="1"/>
  <c r="DJ12" i="12" s="1"/>
  <c r="FB1" i="15" l="1"/>
  <c r="FC1" i="15" s="1"/>
  <c r="FD1" i="15" s="1"/>
  <c r="FE1" i="15" s="1"/>
  <c r="FF1" i="15" s="1"/>
  <c r="FG1" i="15" s="1"/>
  <c r="FH1" i="15" s="1"/>
  <c r="FI1" i="15" s="1"/>
  <c r="FJ1" i="15" s="1"/>
  <c r="FK1" i="15" s="1"/>
  <c r="FL1" i="15" s="1"/>
  <c r="FM1" i="15" s="1"/>
  <c r="FN1" i="15" s="1"/>
  <c r="FO1" i="15" s="1"/>
  <c r="FP1" i="15" s="1"/>
  <c r="FQ1" i="15" s="1"/>
  <c r="FR1" i="15" s="1"/>
  <c r="FS1" i="15" s="1"/>
  <c r="FT1" i="15" s="1"/>
  <c r="FU1" i="15" s="1"/>
  <c r="FV1" i="15" s="1"/>
  <c r="FW1" i="15" s="1"/>
  <c r="FX1" i="15" s="1"/>
  <c r="FY1" i="15" s="1"/>
  <c r="FZ1" i="15" s="1"/>
  <c r="GA1" i="15" s="1"/>
  <c r="GB1" i="15" s="1"/>
  <c r="GC1" i="15" s="1"/>
  <c r="GD1" i="15" s="1"/>
  <c r="GE1" i="15" s="1"/>
  <c r="GF1" i="15" s="1"/>
  <c r="GG1" i="15" s="1"/>
  <c r="GH1" i="15" s="1"/>
  <c r="GI1" i="15" s="1"/>
  <c r="GJ1" i="15" s="1"/>
  <c r="GK1" i="15" s="1"/>
  <c r="GL1" i="15" s="1"/>
  <c r="GM1" i="15" s="1"/>
  <c r="GN1" i="15" s="1"/>
  <c r="GO1" i="15" s="1"/>
  <c r="GP1" i="15" s="1"/>
  <c r="GQ1" i="15" s="1"/>
  <c r="GR1" i="15" s="1"/>
  <c r="GS1" i="15" s="1"/>
  <c r="GT1" i="15" s="1"/>
  <c r="GU1" i="15" s="1"/>
  <c r="GV1" i="15" s="1"/>
  <c r="GW1" i="15" s="1"/>
  <c r="GX1" i="15" s="1"/>
  <c r="GY1" i="15" s="1"/>
  <c r="D35" i="17"/>
  <c r="D36" i="17"/>
  <c r="D37" i="17"/>
  <c r="AZ1" i="15"/>
  <c r="BA1" i="15" s="1"/>
  <c r="BB1" i="15" s="1"/>
  <c r="BC1" i="15" s="1"/>
  <c r="BD1" i="15" s="1"/>
  <c r="BE1" i="15" s="1"/>
  <c r="BF1" i="15" s="1"/>
  <c r="BG1" i="15" s="1"/>
  <c r="BH1" i="15" s="1"/>
  <c r="BI1" i="15" s="1"/>
  <c r="BJ1" i="15" s="1"/>
  <c r="BK1" i="15" s="1"/>
  <c r="BL1" i="15" s="1"/>
  <c r="BM1" i="15" s="1"/>
  <c r="BN1" i="15" s="1"/>
  <c r="BO1" i="15" s="1"/>
  <c r="BP1" i="15" s="1"/>
  <c r="BQ1" i="15" s="1"/>
  <c r="BR1" i="15" s="1"/>
  <c r="BS1" i="15" s="1"/>
  <c r="BT1" i="15" s="1"/>
  <c r="BU1" i="15" s="1"/>
  <c r="BV1" i="15" s="1"/>
  <c r="BW1" i="15" s="1"/>
  <c r="BX1" i="15" s="1"/>
  <c r="BY1" i="15" s="1"/>
  <c r="BZ1" i="15" s="1"/>
  <c r="CA1" i="15" s="1"/>
  <c r="CB1" i="15" s="1"/>
  <c r="CC1" i="15" s="1"/>
  <c r="CD1" i="15" s="1"/>
  <c r="CE1" i="15" s="1"/>
  <c r="CF1" i="15" s="1"/>
  <c r="CG1" i="15" s="1"/>
  <c r="CH1" i="15" s="1"/>
  <c r="CI1" i="15" s="1"/>
  <c r="CJ1" i="15" s="1"/>
  <c r="CK1" i="15" s="1"/>
  <c r="CL1" i="15" s="1"/>
  <c r="CM1" i="15" s="1"/>
  <c r="CN1" i="15" s="1"/>
  <c r="CO1" i="15" s="1"/>
  <c r="CP1" i="15" s="1"/>
  <c r="CQ1" i="15" s="1"/>
  <c r="CR1" i="15" s="1"/>
  <c r="CS1" i="15" s="1"/>
  <c r="CT1" i="15" s="1"/>
  <c r="CU1" i="15" s="1"/>
  <c r="CV1" i="15" s="1"/>
  <c r="CW1" i="15" s="1"/>
  <c r="C36" i="17"/>
  <c r="C35" i="17"/>
  <c r="C37" i="17"/>
  <c r="B40" i="17"/>
  <c r="D39" i="17"/>
  <c r="C39" i="17"/>
  <c r="P9" i="12"/>
  <c r="Q9" i="12" s="1"/>
  <c r="R9" i="12" s="1"/>
  <c r="S9" i="12" s="1"/>
  <c r="T9" i="12" s="1"/>
  <c r="U9" i="12" s="1"/>
  <c r="V9" i="12" s="1"/>
  <c r="W9" i="12" s="1"/>
  <c r="X9" i="12" s="1"/>
  <c r="Y9" i="12" s="1"/>
  <c r="Z9" i="12" s="1"/>
  <c r="AA9" i="12" s="1"/>
  <c r="AB9" i="12" s="1"/>
  <c r="AC9" i="12" s="1"/>
  <c r="AD9" i="12" s="1"/>
  <c r="AE9" i="12" s="1"/>
  <c r="AF9" i="12" s="1"/>
  <c r="AG9" i="12" s="1"/>
  <c r="AH9" i="12" s="1"/>
  <c r="AI9" i="12" s="1"/>
  <c r="AJ9" i="12" s="1"/>
  <c r="AK9" i="12" s="1"/>
  <c r="AL9" i="12" s="1"/>
  <c r="AM9" i="12" s="1"/>
  <c r="AN9" i="12" s="1"/>
  <c r="AO9" i="12" s="1"/>
  <c r="AP9" i="12" s="1"/>
  <c r="AQ9" i="12" s="1"/>
  <c r="AR9" i="12" s="1"/>
  <c r="AS9" i="12" s="1"/>
  <c r="AT9" i="12" s="1"/>
  <c r="AU9" i="12" s="1"/>
  <c r="AV9" i="12" s="1"/>
  <c r="AW9" i="12" s="1"/>
  <c r="AX9" i="12" s="1"/>
  <c r="AY9" i="12" s="1"/>
  <c r="AZ9" i="12" s="1"/>
  <c r="BA9" i="12" s="1"/>
  <c r="BB9" i="12" s="1"/>
  <c r="BC9" i="12" s="1"/>
  <c r="BD9" i="12" s="1"/>
  <c r="BE9" i="12" s="1"/>
  <c r="BF9" i="12" s="1"/>
  <c r="BG9" i="12" s="1"/>
  <c r="BH9" i="12" s="1"/>
  <c r="BI9" i="12" s="1"/>
  <c r="BJ9" i="12" s="1"/>
  <c r="BK9" i="12" s="1"/>
  <c r="BL9" i="12" s="1"/>
  <c r="BM9" i="12" s="1"/>
  <c r="BN9" i="12" s="1"/>
  <c r="BO9" i="12" s="1"/>
  <c r="BP9" i="12" s="1"/>
  <c r="BQ9" i="12" s="1"/>
  <c r="BR9" i="12" s="1"/>
  <c r="BS9" i="12" s="1"/>
  <c r="BT9" i="12" s="1"/>
  <c r="BU9" i="12" s="1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CV9" i="12" s="1"/>
  <c r="CW9" i="12" s="1"/>
  <c r="CX9" i="12" s="1"/>
  <c r="CY9" i="12" s="1"/>
  <c r="CZ9" i="12" s="1"/>
  <c r="DA9" i="12" s="1"/>
  <c r="DB9" i="12" s="1"/>
  <c r="DC9" i="12" s="1"/>
  <c r="DD9" i="12" s="1"/>
  <c r="DE9" i="12" s="1"/>
  <c r="DF9" i="12" s="1"/>
  <c r="DG9" i="12" s="1"/>
  <c r="DH9" i="12" s="1"/>
  <c r="DI9" i="12" s="1"/>
  <c r="DJ9" i="12" s="1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C8" i="1"/>
  <c r="O2" i="13"/>
  <c r="N2" i="13"/>
  <c r="M2" i="13"/>
  <c r="L2" i="13"/>
  <c r="K2" i="13"/>
  <c r="C2" i="13"/>
  <c r="C7" i="17" s="1"/>
  <c r="F2" i="13"/>
  <c r="D11" i="17" s="1"/>
  <c r="E2" i="13"/>
  <c r="C11" i="17" s="1"/>
  <c r="D2" i="13"/>
  <c r="I14" i="18" l="1"/>
  <c r="O14" i="18"/>
  <c r="P14" i="18"/>
  <c r="B41" i="17"/>
  <c r="D40" i="17"/>
  <c r="C40" i="17"/>
  <c r="D7" i="17"/>
  <c r="D5" i="17" s="1"/>
  <c r="J14" i="18"/>
  <c r="J15" i="18" s="1"/>
  <c r="J16" i="18" s="1"/>
  <c r="J17" i="18" s="1"/>
  <c r="J18" i="18" s="1"/>
  <c r="J19" i="18" s="1"/>
  <c r="J20" i="18" s="1"/>
  <c r="J21" i="18" s="1"/>
  <c r="J22" i="18" s="1"/>
  <c r="J23" i="18" s="1"/>
  <c r="J24" i="18" s="1"/>
  <c r="J25" i="18" s="1"/>
  <c r="J26" i="18" s="1"/>
  <c r="J27" i="18" s="1"/>
  <c r="J28" i="18" s="1"/>
  <c r="J29" i="18" s="1"/>
  <c r="J30" i="18" s="1"/>
  <c r="J31" i="18" s="1"/>
  <c r="J32" i="18" s="1"/>
  <c r="J33" i="18" s="1"/>
  <c r="J34" i="18" s="1"/>
  <c r="J35" i="18" s="1"/>
  <c r="J36" i="18" s="1"/>
  <c r="J37" i="18" s="1"/>
  <c r="J38" i="18" s="1"/>
  <c r="J39" i="18" s="1"/>
  <c r="J40" i="18" s="1"/>
  <c r="J41" i="18" s="1"/>
  <c r="J42" i="18" s="1"/>
  <c r="J43" i="18" s="1"/>
  <c r="J44" i="18" s="1"/>
  <c r="J45" i="18" s="1"/>
  <c r="J46" i="18" s="1"/>
  <c r="J47" i="18" s="1"/>
  <c r="J48" i="18" s="1"/>
  <c r="J49" i="18" s="1"/>
  <c r="J50" i="18" s="1"/>
  <c r="J51" i="18" s="1"/>
  <c r="J52" i="18" s="1"/>
  <c r="J53" i="18" s="1"/>
  <c r="J54" i="18" s="1"/>
  <c r="J55" i="18" s="1"/>
  <c r="J56" i="18" s="1"/>
  <c r="J57" i="18" s="1"/>
  <c r="J58" i="18" s="1"/>
  <c r="J59" i="18" s="1"/>
  <c r="J60" i="18" s="1"/>
  <c r="J61" i="18" s="1"/>
  <c r="J62" i="18" s="1"/>
  <c r="J63" i="18" s="1"/>
  <c r="J64" i="18" s="1"/>
  <c r="C12" i="17"/>
  <c r="C5" i="17"/>
  <c r="Q2" i="13"/>
  <c r="B2" i="13"/>
  <c r="P15" i="18" l="1"/>
  <c r="P16" i="18" s="1"/>
  <c r="P17" i="18" s="1"/>
  <c r="P18" i="18" s="1"/>
  <c r="P19" i="18" s="1"/>
  <c r="P20" i="18" s="1"/>
  <c r="P21" i="18" s="1"/>
  <c r="P22" i="18" s="1"/>
  <c r="P23" i="18" s="1"/>
  <c r="P24" i="18" s="1"/>
  <c r="P25" i="18" s="1"/>
  <c r="P26" i="18" s="1"/>
  <c r="P27" i="18" s="1"/>
  <c r="P28" i="18" s="1"/>
  <c r="P29" i="18" s="1"/>
  <c r="P30" i="18" s="1"/>
  <c r="P31" i="18" s="1"/>
  <c r="P32" i="18" s="1"/>
  <c r="P33" i="18" s="1"/>
  <c r="P34" i="18" s="1"/>
  <c r="P35" i="18" s="1"/>
  <c r="P36" i="18" s="1"/>
  <c r="P37" i="18" s="1"/>
  <c r="P38" i="18" s="1"/>
  <c r="P39" i="18" s="1"/>
  <c r="P40" i="18" s="1"/>
  <c r="P41" i="18" s="1"/>
  <c r="P42" i="18" s="1"/>
  <c r="P43" i="18" s="1"/>
  <c r="P44" i="18" s="1"/>
  <c r="P45" i="18" s="1"/>
  <c r="P46" i="18" s="1"/>
  <c r="P47" i="18" s="1"/>
  <c r="P48" i="18" s="1"/>
  <c r="P49" i="18" s="1"/>
  <c r="P50" i="18" s="1"/>
  <c r="P51" i="18" s="1"/>
  <c r="P52" i="18" s="1"/>
  <c r="P53" i="18" s="1"/>
  <c r="P54" i="18" s="1"/>
  <c r="P55" i="18" s="1"/>
  <c r="P56" i="18" s="1"/>
  <c r="P57" i="18" s="1"/>
  <c r="P58" i="18" s="1"/>
  <c r="P59" i="18" s="1"/>
  <c r="P60" i="18" s="1"/>
  <c r="P61" i="18" s="1"/>
  <c r="P62" i="18" s="1"/>
  <c r="P63" i="18" s="1"/>
  <c r="P64" i="18" s="1"/>
  <c r="O15" i="18"/>
  <c r="O16" i="18" s="1"/>
  <c r="O17" i="18" s="1"/>
  <c r="O18" i="18" s="1"/>
  <c r="O19" i="18" s="1"/>
  <c r="O20" i="18" s="1"/>
  <c r="O21" i="18" s="1"/>
  <c r="O22" i="18" s="1"/>
  <c r="O23" i="18" s="1"/>
  <c r="O24" i="18" s="1"/>
  <c r="O25" i="18" s="1"/>
  <c r="O26" i="18" s="1"/>
  <c r="O27" i="18" s="1"/>
  <c r="O28" i="18" s="1"/>
  <c r="O29" i="18" s="1"/>
  <c r="O30" i="18" s="1"/>
  <c r="O31" i="18" s="1"/>
  <c r="O32" i="18" s="1"/>
  <c r="O33" i="18" s="1"/>
  <c r="O34" i="18" s="1"/>
  <c r="O35" i="18" s="1"/>
  <c r="O36" i="18" s="1"/>
  <c r="O37" i="18" s="1"/>
  <c r="O38" i="18" s="1"/>
  <c r="O39" i="18" s="1"/>
  <c r="O40" i="18" s="1"/>
  <c r="O41" i="18" s="1"/>
  <c r="O42" i="18" s="1"/>
  <c r="O43" i="18" s="1"/>
  <c r="O44" i="18" s="1"/>
  <c r="O45" i="18" s="1"/>
  <c r="O46" i="18" s="1"/>
  <c r="O47" i="18" s="1"/>
  <c r="O48" i="18" s="1"/>
  <c r="O49" i="18" s="1"/>
  <c r="O50" i="18" s="1"/>
  <c r="O51" i="18" s="1"/>
  <c r="O52" i="18" s="1"/>
  <c r="O53" i="18" s="1"/>
  <c r="O54" i="18" s="1"/>
  <c r="O55" i="18" s="1"/>
  <c r="O56" i="18" s="1"/>
  <c r="O57" i="18" s="1"/>
  <c r="O58" i="18" s="1"/>
  <c r="O59" i="18" s="1"/>
  <c r="O60" i="18" s="1"/>
  <c r="O61" i="18" s="1"/>
  <c r="O62" i="18" s="1"/>
  <c r="O63" i="18" s="1"/>
  <c r="O64" i="18" s="1"/>
  <c r="B42" i="17"/>
  <c r="D41" i="17"/>
  <c r="C41" i="17"/>
  <c r="D12" i="17"/>
  <c r="I15" i="18"/>
  <c r="I16" i="18" s="1"/>
  <c r="I17" i="18" s="1"/>
  <c r="I18" i="18" s="1"/>
  <c r="I19" i="18" s="1"/>
  <c r="I20" i="18" s="1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R1" i="13"/>
  <c r="C25" i="17"/>
  <c r="C23" i="17" s="1"/>
  <c r="CZ2" i="15"/>
  <c r="C13" i="12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5" i="1"/>
  <c r="C11" i="10"/>
  <c r="C7" i="12"/>
  <c r="C6" i="12"/>
  <c r="B43" i="17" l="1"/>
  <c r="D42" i="17"/>
  <c r="C42" i="17"/>
  <c r="C9" i="17"/>
  <c r="D9" i="17"/>
  <c r="H13" i="12"/>
  <c r="C7" i="1"/>
  <c r="C6" i="1"/>
  <c r="B44" i="17" l="1"/>
  <c r="D43" i="17"/>
  <c r="C43" i="17"/>
  <c r="C13" i="16"/>
  <c r="A14" i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B13" i="12"/>
  <c r="C9" i="1"/>
  <c r="B14" i="18" s="1"/>
  <c r="B14" i="1"/>
  <c r="B45" i="17" l="1"/>
  <c r="D44" i="17"/>
  <c r="C44" i="17"/>
  <c r="D14" i="18"/>
  <c r="G14" i="18"/>
  <c r="B15" i="18"/>
  <c r="D13" i="12"/>
  <c r="B13" i="16"/>
  <c r="K13" i="16"/>
  <c r="B15" i="1"/>
  <c r="E14" i="1"/>
  <c r="F14" i="1" s="1"/>
  <c r="B14" i="12"/>
  <c r="K14" i="16" s="1"/>
  <c r="G13" i="12"/>
  <c r="D14" i="1"/>
  <c r="C15" i="1" s="1"/>
  <c r="G14" i="1"/>
  <c r="B46" i="17" l="1"/>
  <c r="D45" i="17"/>
  <c r="C45" i="17"/>
  <c r="D15" i="18"/>
  <c r="B16" i="18"/>
  <c r="G15" i="18"/>
  <c r="E14" i="18"/>
  <c r="F14" i="18"/>
  <c r="D14" i="12"/>
  <c r="D13" i="16"/>
  <c r="B14" i="16"/>
  <c r="E13" i="16"/>
  <c r="F13" i="16" s="1"/>
  <c r="H13" i="16" s="1"/>
  <c r="E15" i="1"/>
  <c r="F15" i="1" s="1"/>
  <c r="B16" i="1"/>
  <c r="E13" i="12"/>
  <c r="G14" i="12"/>
  <c r="B15" i="12"/>
  <c r="K15" i="16" s="1"/>
  <c r="G15" i="1"/>
  <c r="D15" i="1"/>
  <c r="C16" i="1" s="1"/>
  <c r="F13" i="12"/>
  <c r="I13" i="12" s="1"/>
  <c r="H14" i="1"/>
  <c r="C14" i="16" l="1"/>
  <c r="B47" i="17"/>
  <c r="D46" i="17"/>
  <c r="C46" i="17"/>
  <c r="F14" i="12"/>
  <c r="H15" i="18"/>
  <c r="B17" i="18"/>
  <c r="G16" i="18"/>
  <c r="D16" i="18"/>
  <c r="E15" i="18"/>
  <c r="F15" i="18"/>
  <c r="E14" i="16"/>
  <c r="B15" i="16"/>
  <c r="D14" i="16"/>
  <c r="E16" i="1"/>
  <c r="F16" i="1" s="1"/>
  <c r="G16" i="1"/>
  <c r="B17" i="1"/>
  <c r="D16" i="1"/>
  <c r="C17" i="1" s="1"/>
  <c r="G15" i="12"/>
  <c r="D15" i="12"/>
  <c r="B16" i="12"/>
  <c r="K16" i="16" s="1"/>
  <c r="E14" i="12"/>
  <c r="H14" i="12"/>
  <c r="H15" i="1"/>
  <c r="B48" i="17" l="1"/>
  <c r="D47" i="17"/>
  <c r="C47" i="17"/>
  <c r="E15" i="12"/>
  <c r="H16" i="18"/>
  <c r="G17" i="18"/>
  <c r="B18" i="18"/>
  <c r="D17" i="18"/>
  <c r="F16" i="18"/>
  <c r="E16" i="18"/>
  <c r="E15" i="16"/>
  <c r="D15" i="16"/>
  <c r="B16" i="16"/>
  <c r="F14" i="16"/>
  <c r="H14" i="16" s="1"/>
  <c r="E17" i="1"/>
  <c r="F17" i="1" s="1"/>
  <c r="I14" i="12"/>
  <c r="B18" i="1"/>
  <c r="G17" i="1"/>
  <c r="D17" i="1"/>
  <c r="C18" i="1" s="1"/>
  <c r="D16" i="12"/>
  <c r="B17" i="12"/>
  <c r="G16" i="12"/>
  <c r="F15" i="12"/>
  <c r="H15" i="12"/>
  <c r="H16" i="1"/>
  <c r="B49" i="17" l="1"/>
  <c r="D48" i="17"/>
  <c r="C48" i="17"/>
  <c r="F16" i="12"/>
  <c r="C15" i="16"/>
  <c r="F15" i="16" s="1"/>
  <c r="H15" i="16" s="1"/>
  <c r="H17" i="18"/>
  <c r="D18" i="18"/>
  <c r="G18" i="18"/>
  <c r="B19" i="18"/>
  <c r="F17" i="18"/>
  <c r="E17" i="18"/>
  <c r="G17" i="12"/>
  <c r="K17" i="16"/>
  <c r="B17" i="16"/>
  <c r="D16" i="16"/>
  <c r="E16" i="16"/>
  <c r="E18" i="1"/>
  <c r="F18" i="1" s="1"/>
  <c r="E16" i="12"/>
  <c r="G18" i="1"/>
  <c r="D18" i="1"/>
  <c r="C19" i="1" s="1"/>
  <c r="B19" i="1"/>
  <c r="D17" i="12"/>
  <c r="B18" i="12"/>
  <c r="H17" i="1"/>
  <c r="H16" i="12"/>
  <c r="I15" i="12"/>
  <c r="B50" i="17" l="1"/>
  <c r="D49" i="17"/>
  <c r="C49" i="17"/>
  <c r="I16" i="12"/>
  <c r="F17" i="12"/>
  <c r="C16" i="16"/>
  <c r="H18" i="18"/>
  <c r="D19" i="18"/>
  <c r="B20" i="18"/>
  <c r="G19" i="18"/>
  <c r="E18" i="18"/>
  <c r="F18" i="18"/>
  <c r="G18" i="12"/>
  <c r="K18" i="16"/>
  <c r="E17" i="16"/>
  <c r="B18" i="16"/>
  <c r="D17" i="16"/>
  <c r="E19" i="1"/>
  <c r="F19" i="1" s="1"/>
  <c r="E17" i="12"/>
  <c r="H18" i="1"/>
  <c r="G19" i="1"/>
  <c r="D19" i="1"/>
  <c r="C20" i="1" s="1"/>
  <c r="B20" i="1"/>
  <c r="B19" i="12"/>
  <c r="K19" i="16" s="1"/>
  <c r="D18" i="12"/>
  <c r="H17" i="12"/>
  <c r="I17" i="12" l="1"/>
  <c r="B51" i="17"/>
  <c r="D50" i="17"/>
  <c r="C50" i="17"/>
  <c r="C17" i="16"/>
  <c r="C18" i="16" s="1"/>
  <c r="E18" i="12"/>
  <c r="F16" i="16"/>
  <c r="H16" i="16" s="1"/>
  <c r="H19" i="18"/>
  <c r="B21" i="18"/>
  <c r="G20" i="18"/>
  <c r="D20" i="18"/>
  <c r="F19" i="18"/>
  <c r="E19" i="18"/>
  <c r="B20" i="12"/>
  <c r="K20" i="16" s="1"/>
  <c r="D18" i="16"/>
  <c r="E18" i="16"/>
  <c r="B19" i="16"/>
  <c r="E20" i="1"/>
  <c r="F20" i="1" s="1"/>
  <c r="D19" i="12"/>
  <c r="G19" i="12"/>
  <c r="H19" i="1"/>
  <c r="G20" i="1"/>
  <c r="D20" i="1"/>
  <c r="C21" i="1" s="1"/>
  <c r="B21" i="1"/>
  <c r="F18" i="12"/>
  <c r="H18" i="12"/>
  <c r="F17" i="16" l="1"/>
  <c r="H17" i="16" s="1"/>
  <c r="B52" i="17"/>
  <c r="D51" i="17"/>
  <c r="C51" i="17"/>
  <c r="B21" i="12"/>
  <c r="K21" i="16" s="1"/>
  <c r="H20" i="18"/>
  <c r="G20" i="12"/>
  <c r="D21" i="18"/>
  <c r="B22" i="18"/>
  <c r="G21" i="18"/>
  <c r="F20" i="18"/>
  <c r="E20" i="18"/>
  <c r="D20" i="12"/>
  <c r="F18" i="16"/>
  <c r="H18" i="16" s="1"/>
  <c r="E19" i="16"/>
  <c r="D19" i="16"/>
  <c r="B20" i="16"/>
  <c r="E21" i="1"/>
  <c r="F21" i="1" s="1"/>
  <c r="H19" i="12"/>
  <c r="H20" i="1"/>
  <c r="B22" i="1"/>
  <c r="G21" i="1"/>
  <c r="D21" i="1"/>
  <c r="C22" i="1" s="1"/>
  <c r="I18" i="12"/>
  <c r="D21" i="12"/>
  <c r="G21" i="12"/>
  <c r="B22" i="12"/>
  <c r="K22" i="16" s="1"/>
  <c r="B53" i="17" l="1"/>
  <c r="D52" i="17"/>
  <c r="C52" i="17"/>
  <c r="E20" i="12"/>
  <c r="H21" i="18"/>
  <c r="C19" i="16"/>
  <c r="F19" i="16" s="1"/>
  <c r="H19" i="16" s="1"/>
  <c r="F21" i="18"/>
  <c r="E21" i="18"/>
  <c r="D22" i="18"/>
  <c r="B23" i="18"/>
  <c r="G22" i="18"/>
  <c r="F20" i="12"/>
  <c r="B21" i="16"/>
  <c r="D20" i="16"/>
  <c r="E20" i="16"/>
  <c r="E22" i="1"/>
  <c r="F22" i="1" s="1"/>
  <c r="H21" i="1"/>
  <c r="G22" i="1"/>
  <c r="B23" i="1"/>
  <c r="D22" i="1"/>
  <c r="C23" i="1" s="1"/>
  <c r="D22" i="12"/>
  <c r="G22" i="12"/>
  <c r="B23" i="12"/>
  <c r="K23" i="16" s="1"/>
  <c r="F21" i="12"/>
  <c r="E21" i="12"/>
  <c r="B54" i="17" l="1"/>
  <c r="D53" i="17"/>
  <c r="C53" i="17"/>
  <c r="H22" i="18"/>
  <c r="E22" i="18"/>
  <c r="F22" i="18"/>
  <c r="D23" i="18"/>
  <c r="B24" i="18"/>
  <c r="G23" i="18"/>
  <c r="E21" i="16"/>
  <c r="B22" i="16"/>
  <c r="D21" i="16"/>
  <c r="E23" i="1"/>
  <c r="F23" i="1" s="1"/>
  <c r="H22" i="1"/>
  <c r="D23" i="1"/>
  <c r="C24" i="1" s="1"/>
  <c r="G23" i="1"/>
  <c r="B24" i="1"/>
  <c r="D23" i="12"/>
  <c r="G23" i="12"/>
  <c r="B24" i="12"/>
  <c r="K24" i="16" s="1"/>
  <c r="E22" i="12"/>
  <c r="F22" i="12"/>
  <c r="B55" i="17" l="1"/>
  <c r="D54" i="17"/>
  <c r="C54" i="17"/>
  <c r="H23" i="18"/>
  <c r="F23" i="18"/>
  <c r="E23" i="18"/>
  <c r="B25" i="18"/>
  <c r="G24" i="18"/>
  <c r="D24" i="18"/>
  <c r="D22" i="16"/>
  <c r="B23" i="16"/>
  <c r="E22" i="16"/>
  <c r="E24" i="1"/>
  <c r="F24" i="1" s="1"/>
  <c r="H23" i="1"/>
  <c r="G24" i="1"/>
  <c r="D24" i="1"/>
  <c r="C25" i="1" s="1"/>
  <c r="B25" i="1"/>
  <c r="D24" i="12"/>
  <c r="G24" i="12"/>
  <c r="B25" i="12"/>
  <c r="K25" i="16" s="1"/>
  <c r="E23" i="12"/>
  <c r="F23" i="12"/>
  <c r="B56" i="17" l="1"/>
  <c r="D55" i="17"/>
  <c r="C55" i="17"/>
  <c r="H24" i="18"/>
  <c r="D25" i="18"/>
  <c r="B26" i="18"/>
  <c r="G25" i="18"/>
  <c r="E24" i="18"/>
  <c r="F24" i="18"/>
  <c r="B24" i="16"/>
  <c r="D23" i="16"/>
  <c r="E23" i="16"/>
  <c r="E25" i="1"/>
  <c r="F25" i="1" s="1"/>
  <c r="H24" i="1"/>
  <c r="D25" i="1"/>
  <c r="C26" i="1" s="1"/>
  <c r="B26" i="1"/>
  <c r="G25" i="1"/>
  <c r="D25" i="12"/>
  <c r="G25" i="12"/>
  <c r="B26" i="12"/>
  <c r="K26" i="16" s="1"/>
  <c r="E24" i="12"/>
  <c r="F24" i="12"/>
  <c r="B57" i="17" l="1"/>
  <c r="D56" i="17"/>
  <c r="C56" i="17"/>
  <c r="H25" i="18"/>
  <c r="B27" i="18"/>
  <c r="G26" i="18"/>
  <c r="D26" i="18"/>
  <c r="F25" i="18"/>
  <c r="E25" i="18"/>
  <c r="D24" i="16"/>
  <c r="E24" i="16"/>
  <c r="B25" i="16"/>
  <c r="E26" i="1"/>
  <c r="F26" i="1" s="1"/>
  <c r="H25" i="1"/>
  <c r="B27" i="1"/>
  <c r="G26" i="1"/>
  <c r="D26" i="1"/>
  <c r="C27" i="1" s="1"/>
  <c r="D26" i="12"/>
  <c r="G26" i="12"/>
  <c r="B27" i="12"/>
  <c r="K27" i="16" s="1"/>
  <c r="E25" i="12"/>
  <c r="F25" i="12"/>
  <c r="B58" i="17" l="1"/>
  <c r="D57" i="17"/>
  <c r="C57" i="17"/>
  <c r="H26" i="18"/>
  <c r="D27" i="18"/>
  <c r="B28" i="18"/>
  <c r="G27" i="18"/>
  <c r="E26" i="18"/>
  <c r="F26" i="18"/>
  <c r="E25" i="16"/>
  <c r="B26" i="16"/>
  <c r="D25" i="16"/>
  <c r="E27" i="1"/>
  <c r="F27" i="1" s="1"/>
  <c r="H26" i="1"/>
  <c r="B28" i="1"/>
  <c r="G27" i="1"/>
  <c r="D27" i="1"/>
  <c r="C28" i="1" s="1"/>
  <c r="D27" i="12"/>
  <c r="G27" i="12"/>
  <c r="B28" i="12"/>
  <c r="K28" i="16" s="1"/>
  <c r="E26" i="12"/>
  <c r="F26" i="12"/>
  <c r="B59" i="17" l="1"/>
  <c r="D58" i="17"/>
  <c r="C58" i="17"/>
  <c r="H27" i="18"/>
  <c r="D28" i="18"/>
  <c r="B29" i="18"/>
  <c r="G28" i="18"/>
  <c r="F27" i="18"/>
  <c r="E27" i="18"/>
  <c r="B27" i="16"/>
  <c r="D26" i="16"/>
  <c r="E26" i="16"/>
  <c r="E28" i="1"/>
  <c r="F28" i="1" s="1"/>
  <c r="H27" i="1"/>
  <c r="G28" i="1"/>
  <c r="B29" i="1"/>
  <c r="D28" i="1"/>
  <c r="C29" i="1" s="1"/>
  <c r="D28" i="12"/>
  <c r="G28" i="12"/>
  <c r="B29" i="12"/>
  <c r="K29" i="16" s="1"/>
  <c r="E27" i="12"/>
  <c r="F27" i="12"/>
  <c r="B60" i="17" l="1"/>
  <c r="D59" i="17"/>
  <c r="C59" i="17"/>
  <c r="H28" i="18"/>
  <c r="D29" i="18"/>
  <c r="B30" i="18"/>
  <c r="G29" i="18"/>
  <c r="E28" i="18"/>
  <c r="F28" i="18"/>
  <c r="E27" i="16"/>
  <c r="B28" i="16"/>
  <c r="D27" i="16"/>
  <c r="E29" i="1"/>
  <c r="F29" i="1" s="1"/>
  <c r="H28" i="1"/>
  <c r="G29" i="1"/>
  <c r="B30" i="1"/>
  <c r="D29" i="1"/>
  <c r="C30" i="1" s="1"/>
  <c r="D29" i="12"/>
  <c r="G29" i="12"/>
  <c r="B30" i="12"/>
  <c r="K30" i="16" s="1"/>
  <c r="E28" i="12"/>
  <c r="F28" i="12"/>
  <c r="B61" i="17" l="1"/>
  <c r="D60" i="17"/>
  <c r="C60" i="17"/>
  <c r="H29" i="18"/>
  <c r="D30" i="18"/>
  <c r="B31" i="18"/>
  <c r="G30" i="18"/>
  <c r="E29" i="18"/>
  <c r="F29" i="18"/>
  <c r="B29" i="16"/>
  <c r="D28" i="16"/>
  <c r="E28" i="16"/>
  <c r="E30" i="1"/>
  <c r="F30" i="1" s="1"/>
  <c r="H29" i="1"/>
  <c r="G30" i="1"/>
  <c r="B31" i="1"/>
  <c r="D30" i="1"/>
  <c r="C31" i="1" s="1"/>
  <c r="D30" i="12"/>
  <c r="G30" i="12"/>
  <c r="B31" i="12"/>
  <c r="K31" i="16" s="1"/>
  <c r="E29" i="12"/>
  <c r="F29" i="12"/>
  <c r="B62" i="17" l="1"/>
  <c r="D61" i="17"/>
  <c r="C61" i="17"/>
  <c r="H30" i="18"/>
  <c r="B32" i="18"/>
  <c r="G31" i="18"/>
  <c r="D31" i="18"/>
  <c r="F30" i="18"/>
  <c r="E30" i="18"/>
  <c r="B30" i="16"/>
  <c r="D29" i="16"/>
  <c r="E29" i="16"/>
  <c r="E31" i="1"/>
  <c r="F31" i="1" s="1"/>
  <c r="H30" i="1"/>
  <c r="D31" i="1"/>
  <c r="C32" i="1" s="1"/>
  <c r="B32" i="1"/>
  <c r="G31" i="1"/>
  <c r="D31" i="12"/>
  <c r="G31" i="12"/>
  <c r="B32" i="12"/>
  <c r="K32" i="16" s="1"/>
  <c r="E30" i="12"/>
  <c r="F30" i="12"/>
  <c r="B63" i="17" l="1"/>
  <c r="D62" i="17"/>
  <c r="C62" i="17"/>
  <c r="H31" i="18"/>
  <c r="D32" i="18"/>
  <c r="G32" i="18"/>
  <c r="B33" i="18"/>
  <c r="F31" i="18"/>
  <c r="E31" i="18"/>
  <c r="E30" i="16"/>
  <c r="B31" i="16"/>
  <c r="D30" i="16"/>
  <c r="E32" i="1"/>
  <c r="F32" i="1" s="1"/>
  <c r="H31" i="1"/>
  <c r="D32" i="1"/>
  <c r="C33" i="1" s="1"/>
  <c r="G32" i="1"/>
  <c r="B33" i="1"/>
  <c r="D32" i="12"/>
  <c r="G32" i="12"/>
  <c r="B33" i="12"/>
  <c r="K33" i="16" s="1"/>
  <c r="E31" i="12"/>
  <c r="F31" i="12"/>
  <c r="B64" i="17" l="1"/>
  <c r="D63" i="17"/>
  <c r="C63" i="17"/>
  <c r="H32" i="18"/>
  <c r="D33" i="18"/>
  <c r="B34" i="18"/>
  <c r="G33" i="18"/>
  <c r="F32" i="18"/>
  <c r="E32" i="18"/>
  <c r="D31" i="16"/>
  <c r="E31" i="16"/>
  <c r="B32" i="16"/>
  <c r="E33" i="1"/>
  <c r="F33" i="1" s="1"/>
  <c r="H32" i="1"/>
  <c r="D33" i="1"/>
  <c r="C34" i="1" s="1"/>
  <c r="G33" i="1"/>
  <c r="B34" i="1"/>
  <c r="D33" i="12"/>
  <c r="G33" i="12"/>
  <c r="B34" i="12"/>
  <c r="K34" i="16" s="1"/>
  <c r="E32" i="12"/>
  <c r="F32" i="12"/>
  <c r="B65" i="17" l="1"/>
  <c r="D64" i="17"/>
  <c r="C64" i="17"/>
  <c r="H33" i="18"/>
  <c r="D34" i="18"/>
  <c r="B35" i="18"/>
  <c r="G34" i="18"/>
  <c r="E33" i="18"/>
  <c r="F33" i="18"/>
  <c r="B33" i="16"/>
  <c r="D32" i="16"/>
  <c r="E32" i="16"/>
  <c r="E34" i="1"/>
  <c r="F34" i="1" s="1"/>
  <c r="H33" i="1"/>
  <c r="D34" i="1"/>
  <c r="C35" i="1" s="1"/>
  <c r="G34" i="1"/>
  <c r="B35" i="1"/>
  <c r="D34" i="12"/>
  <c r="G34" i="12"/>
  <c r="B35" i="12"/>
  <c r="K35" i="16" s="1"/>
  <c r="E33" i="12"/>
  <c r="F33" i="12"/>
  <c r="B66" i="17" l="1"/>
  <c r="D65" i="17"/>
  <c r="C65" i="17"/>
  <c r="H34" i="18"/>
  <c r="B36" i="18"/>
  <c r="G35" i="18"/>
  <c r="D35" i="18"/>
  <c r="F34" i="18"/>
  <c r="E34" i="18"/>
  <c r="D33" i="16"/>
  <c r="B34" i="16"/>
  <c r="E33" i="16"/>
  <c r="E35" i="1"/>
  <c r="F35" i="1" s="1"/>
  <c r="H34" i="1"/>
  <c r="G35" i="1"/>
  <c r="D35" i="1"/>
  <c r="C36" i="1" s="1"/>
  <c r="B36" i="1"/>
  <c r="D35" i="12"/>
  <c r="G35" i="12"/>
  <c r="B36" i="12"/>
  <c r="K36" i="16" s="1"/>
  <c r="E34" i="12"/>
  <c r="F34" i="12"/>
  <c r="B67" i="17" l="1"/>
  <c r="D66" i="17"/>
  <c r="C66" i="17"/>
  <c r="H35" i="18"/>
  <c r="F35" i="18"/>
  <c r="E35" i="18"/>
  <c r="D36" i="18"/>
  <c r="B37" i="18"/>
  <c r="G36" i="18"/>
  <c r="D34" i="16"/>
  <c r="B35" i="16"/>
  <c r="E34" i="16"/>
  <c r="E36" i="1"/>
  <c r="F36" i="1" s="1"/>
  <c r="H35" i="1"/>
  <c r="G36" i="1"/>
  <c r="B37" i="1"/>
  <c r="D36" i="1"/>
  <c r="C37" i="1" s="1"/>
  <c r="D36" i="12"/>
  <c r="G36" i="12"/>
  <c r="B37" i="12"/>
  <c r="K37" i="16" s="1"/>
  <c r="E35" i="12"/>
  <c r="F35" i="12"/>
  <c r="B68" i="17" l="1"/>
  <c r="D67" i="17"/>
  <c r="C67" i="17"/>
  <c r="H36" i="18"/>
  <c r="F36" i="18"/>
  <c r="E36" i="18"/>
  <c r="D37" i="18"/>
  <c r="B38" i="18"/>
  <c r="G37" i="18"/>
  <c r="D35" i="16"/>
  <c r="B36" i="16"/>
  <c r="E35" i="16"/>
  <c r="E37" i="1"/>
  <c r="F37" i="1" s="1"/>
  <c r="H36" i="1"/>
  <c r="B38" i="1"/>
  <c r="G37" i="1"/>
  <c r="D37" i="1"/>
  <c r="C38" i="1" s="1"/>
  <c r="D37" i="12"/>
  <c r="G37" i="12"/>
  <c r="B38" i="12"/>
  <c r="K38" i="16" s="1"/>
  <c r="E36" i="12"/>
  <c r="F36" i="12"/>
  <c r="B69" i="17" l="1"/>
  <c r="D68" i="17"/>
  <c r="C68" i="17"/>
  <c r="H37" i="18"/>
  <c r="E37" i="18"/>
  <c r="F37" i="18"/>
  <c r="D38" i="18"/>
  <c r="B39" i="18"/>
  <c r="G38" i="18"/>
  <c r="B37" i="16"/>
  <c r="D36" i="16"/>
  <c r="E36" i="16"/>
  <c r="E38" i="1"/>
  <c r="F38" i="1" s="1"/>
  <c r="H37" i="1"/>
  <c r="G38" i="1"/>
  <c r="B39" i="1"/>
  <c r="D38" i="1"/>
  <c r="C39" i="1" s="1"/>
  <c r="D38" i="12"/>
  <c r="G38" i="12"/>
  <c r="B39" i="12"/>
  <c r="K39" i="16" s="1"/>
  <c r="E37" i="12"/>
  <c r="F37" i="12"/>
  <c r="B70" i="17" l="1"/>
  <c r="D69" i="17"/>
  <c r="C69" i="17"/>
  <c r="H38" i="18"/>
  <c r="F38" i="18"/>
  <c r="E38" i="18"/>
  <c r="B40" i="18"/>
  <c r="G39" i="18"/>
  <c r="D39" i="18"/>
  <c r="E37" i="16"/>
  <c r="B38" i="16"/>
  <c r="D37" i="16"/>
  <c r="E39" i="1"/>
  <c r="F39" i="1" s="1"/>
  <c r="H38" i="1"/>
  <c r="D39" i="1"/>
  <c r="C40" i="1" s="1"/>
  <c r="G39" i="1"/>
  <c r="B40" i="1"/>
  <c r="D39" i="12"/>
  <c r="G39" i="12"/>
  <c r="B40" i="12"/>
  <c r="K40" i="16" s="1"/>
  <c r="E38" i="12"/>
  <c r="F38" i="12"/>
  <c r="B71" i="17" l="1"/>
  <c r="D70" i="17"/>
  <c r="C70" i="17"/>
  <c r="H39" i="18"/>
  <c r="D40" i="18"/>
  <c r="G40" i="18"/>
  <c r="B41" i="18"/>
  <c r="F39" i="18"/>
  <c r="E39" i="18"/>
  <c r="E38" i="16"/>
  <c r="B39" i="16"/>
  <c r="D38" i="16"/>
  <c r="E40" i="1"/>
  <c r="F40" i="1" s="1"/>
  <c r="H39" i="1"/>
  <c r="B41" i="1"/>
  <c r="D40" i="1"/>
  <c r="C41" i="1" s="1"/>
  <c r="G40" i="1"/>
  <c r="D40" i="12"/>
  <c r="G40" i="12"/>
  <c r="B41" i="12"/>
  <c r="K41" i="16" s="1"/>
  <c r="E39" i="12"/>
  <c r="F39" i="12"/>
  <c r="P7" i="18" l="1"/>
  <c r="O7" i="18"/>
  <c r="B72" i="17"/>
  <c r="D71" i="17"/>
  <c r="C71" i="17"/>
  <c r="H40" i="18"/>
  <c r="F40" i="18"/>
  <c r="E40" i="18"/>
  <c r="D41" i="18"/>
  <c r="B42" i="18"/>
  <c r="G41" i="18"/>
  <c r="E39" i="16"/>
  <c r="B40" i="16"/>
  <c r="D39" i="16"/>
  <c r="E41" i="1"/>
  <c r="F41" i="1" s="1"/>
  <c r="H40" i="1"/>
  <c r="D41" i="1"/>
  <c r="C42" i="1" s="1"/>
  <c r="G41" i="1"/>
  <c r="B42" i="1"/>
  <c r="D41" i="12"/>
  <c r="G41" i="12"/>
  <c r="B42" i="12"/>
  <c r="K42" i="16" s="1"/>
  <c r="E40" i="12"/>
  <c r="F40" i="12"/>
  <c r="B73" i="17" l="1"/>
  <c r="D72" i="17"/>
  <c r="C72" i="17"/>
  <c r="H41" i="18"/>
  <c r="E41" i="18"/>
  <c r="F41" i="18"/>
  <c r="D42" i="18"/>
  <c r="B43" i="18"/>
  <c r="G42" i="18"/>
  <c r="B41" i="16"/>
  <c r="D40" i="16"/>
  <c r="E40" i="16"/>
  <c r="E42" i="1"/>
  <c r="F42" i="1" s="1"/>
  <c r="H41" i="1"/>
  <c r="G42" i="1"/>
  <c r="B43" i="1"/>
  <c r="D42" i="1"/>
  <c r="C43" i="1" s="1"/>
  <c r="D42" i="12"/>
  <c r="G42" i="12"/>
  <c r="B43" i="12"/>
  <c r="K43" i="16" s="1"/>
  <c r="E41" i="12"/>
  <c r="F41" i="12"/>
  <c r="B74" i="17" l="1"/>
  <c r="D73" i="17"/>
  <c r="C73" i="17"/>
  <c r="H42" i="18"/>
  <c r="F42" i="18"/>
  <c r="E42" i="18"/>
  <c r="B44" i="18"/>
  <c r="G43" i="18"/>
  <c r="D43" i="18"/>
  <c r="B42" i="16"/>
  <c r="D41" i="16"/>
  <c r="E41" i="16"/>
  <c r="E43" i="1"/>
  <c r="F43" i="1" s="1"/>
  <c r="H42" i="1"/>
  <c r="B44" i="1"/>
  <c r="D43" i="1"/>
  <c r="C44" i="1" s="1"/>
  <c r="G43" i="1"/>
  <c r="D43" i="12"/>
  <c r="G43" i="12"/>
  <c r="B44" i="12"/>
  <c r="K44" i="16" s="1"/>
  <c r="E42" i="12"/>
  <c r="F42" i="12"/>
  <c r="B75" i="17" l="1"/>
  <c r="D74" i="17"/>
  <c r="C74" i="17"/>
  <c r="H43" i="18"/>
  <c r="D44" i="18"/>
  <c r="B45" i="18"/>
  <c r="G44" i="18"/>
  <c r="F43" i="18"/>
  <c r="E43" i="18"/>
  <c r="D42" i="16"/>
  <c r="B43" i="16"/>
  <c r="E42" i="16"/>
  <c r="E44" i="1"/>
  <c r="F44" i="1" s="1"/>
  <c r="H43" i="1"/>
  <c r="G44" i="1"/>
  <c r="D44" i="1"/>
  <c r="C45" i="1" s="1"/>
  <c r="B45" i="1"/>
  <c r="D44" i="12"/>
  <c r="G44" i="12"/>
  <c r="B45" i="12"/>
  <c r="K45" i="16" s="1"/>
  <c r="E43" i="12"/>
  <c r="F43" i="12"/>
  <c r="B76" i="17" l="1"/>
  <c r="D75" i="17"/>
  <c r="C75" i="17"/>
  <c r="H44" i="18"/>
  <c r="D45" i="18"/>
  <c r="B46" i="18"/>
  <c r="G45" i="18"/>
  <c r="F44" i="18"/>
  <c r="E44" i="18"/>
  <c r="B44" i="16"/>
  <c r="D43" i="16"/>
  <c r="E43" i="16"/>
  <c r="E45" i="1"/>
  <c r="F45" i="1" s="1"/>
  <c r="H44" i="1"/>
  <c r="G45" i="1"/>
  <c r="D45" i="1"/>
  <c r="C46" i="1" s="1"/>
  <c r="B46" i="1"/>
  <c r="D45" i="12"/>
  <c r="G45" i="12"/>
  <c r="B46" i="12"/>
  <c r="K46" i="16" s="1"/>
  <c r="E44" i="12"/>
  <c r="F44" i="12"/>
  <c r="B77" i="17" l="1"/>
  <c r="D76" i="17"/>
  <c r="C76" i="17"/>
  <c r="H45" i="18"/>
  <c r="D46" i="18"/>
  <c r="B47" i="18"/>
  <c r="G46" i="18"/>
  <c r="E45" i="18"/>
  <c r="F45" i="18"/>
  <c r="B45" i="16"/>
  <c r="D44" i="16"/>
  <c r="E44" i="16"/>
  <c r="E46" i="1"/>
  <c r="F46" i="1" s="1"/>
  <c r="H45" i="1"/>
  <c r="G46" i="1"/>
  <c r="B47" i="1"/>
  <c r="D46" i="1"/>
  <c r="C47" i="1" s="1"/>
  <c r="D46" i="12"/>
  <c r="G46" i="12"/>
  <c r="B47" i="12"/>
  <c r="K47" i="16" s="1"/>
  <c r="E45" i="12"/>
  <c r="F45" i="12"/>
  <c r="B78" i="17" l="1"/>
  <c r="D77" i="17"/>
  <c r="C77" i="17"/>
  <c r="H46" i="18"/>
  <c r="B48" i="18"/>
  <c r="G47" i="18"/>
  <c r="D47" i="18"/>
  <c r="F46" i="18"/>
  <c r="E46" i="18"/>
  <c r="E45" i="16"/>
  <c r="D45" i="16"/>
  <c r="B46" i="16"/>
  <c r="E47" i="1"/>
  <c r="F47" i="1" s="1"/>
  <c r="H46" i="1"/>
  <c r="G47" i="1"/>
  <c r="D47" i="1"/>
  <c r="C48" i="1" s="1"/>
  <c r="B48" i="1"/>
  <c r="D47" i="12"/>
  <c r="G47" i="12"/>
  <c r="B48" i="12"/>
  <c r="K48" i="16" s="1"/>
  <c r="E46" i="12"/>
  <c r="F46" i="12"/>
  <c r="B79" i="17" l="1"/>
  <c r="D78" i="17"/>
  <c r="C78" i="17"/>
  <c r="H47" i="18"/>
  <c r="F47" i="18"/>
  <c r="E47" i="18"/>
  <c r="D48" i="18"/>
  <c r="G48" i="18"/>
  <c r="B49" i="18"/>
  <c r="B47" i="16"/>
  <c r="E46" i="16"/>
  <c r="D46" i="16"/>
  <c r="E48" i="1"/>
  <c r="F48" i="1" s="1"/>
  <c r="H47" i="1"/>
  <c r="G48" i="1"/>
  <c r="D48" i="1"/>
  <c r="C49" i="1" s="1"/>
  <c r="B49" i="1"/>
  <c r="D48" i="12"/>
  <c r="G48" i="12"/>
  <c r="B49" i="12"/>
  <c r="K49" i="16" s="1"/>
  <c r="E47" i="12"/>
  <c r="F47" i="12"/>
  <c r="B80" i="17" l="1"/>
  <c r="D79" i="17"/>
  <c r="C79" i="17"/>
  <c r="H48" i="18"/>
  <c r="F48" i="18"/>
  <c r="E48" i="18"/>
  <c r="D49" i="18"/>
  <c r="B50" i="18"/>
  <c r="G49" i="18"/>
  <c r="D47" i="16"/>
  <c r="B48" i="16"/>
  <c r="E47" i="16"/>
  <c r="E49" i="1"/>
  <c r="F49" i="1" s="1"/>
  <c r="H48" i="1"/>
  <c r="G49" i="1"/>
  <c r="B50" i="1"/>
  <c r="D49" i="1"/>
  <c r="C50" i="1" s="1"/>
  <c r="D49" i="12"/>
  <c r="E48" i="12"/>
  <c r="F48" i="12"/>
  <c r="G49" i="12"/>
  <c r="B50" i="12"/>
  <c r="K50" i="16" s="1"/>
  <c r="B81" i="17" l="1"/>
  <c r="D80" i="17"/>
  <c r="C80" i="17"/>
  <c r="H49" i="18"/>
  <c r="E49" i="18"/>
  <c r="F49" i="18"/>
  <c r="D50" i="18"/>
  <c r="B51" i="18"/>
  <c r="G50" i="18"/>
  <c r="D48" i="16"/>
  <c r="E48" i="16"/>
  <c r="B49" i="16"/>
  <c r="E50" i="1"/>
  <c r="F50" i="1" s="1"/>
  <c r="H49" i="1"/>
  <c r="G50" i="1"/>
  <c r="B51" i="1"/>
  <c r="D50" i="1"/>
  <c r="C51" i="1" s="1"/>
  <c r="D50" i="12"/>
  <c r="G50" i="12"/>
  <c r="B51" i="12"/>
  <c r="K51" i="16" s="1"/>
  <c r="E49" i="12"/>
  <c r="F49" i="12"/>
  <c r="B82" i="17" l="1"/>
  <c r="D81" i="17"/>
  <c r="C81" i="17"/>
  <c r="H50" i="18"/>
  <c r="F50" i="18"/>
  <c r="E50" i="18"/>
  <c r="B52" i="18"/>
  <c r="G51" i="18"/>
  <c r="D51" i="18"/>
  <c r="B50" i="16"/>
  <c r="D49" i="16"/>
  <c r="E49" i="16"/>
  <c r="E51" i="1"/>
  <c r="F51" i="1" s="1"/>
  <c r="H50" i="1"/>
  <c r="B52" i="1"/>
  <c r="G51" i="1"/>
  <c r="D51" i="1"/>
  <c r="C52" i="1" s="1"/>
  <c r="D51" i="12"/>
  <c r="E50" i="12"/>
  <c r="F50" i="12"/>
  <c r="G51" i="12"/>
  <c r="B52" i="12"/>
  <c r="K52" i="16" s="1"/>
  <c r="B83" i="17" l="1"/>
  <c r="D82" i="17"/>
  <c r="C82" i="17"/>
  <c r="H51" i="18"/>
  <c r="D52" i="18"/>
  <c r="B53" i="18"/>
  <c r="G52" i="18"/>
  <c r="F51" i="18"/>
  <c r="E51" i="18"/>
  <c r="B51" i="16"/>
  <c r="E50" i="16"/>
  <c r="D50" i="16"/>
  <c r="E52" i="1"/>
  <c r="F52" i="1" s="1"/>
  <c r="H51" i="1"/>
  <c r="G52" i="1"/>
  <c r="B53" i="1"/>
  <c r="D52" i="1"/>
  <c r="C53" i="1" s="1"/>
  <c r="D52" i="12"/>
  <c r="E51" i="12"/>
  <c r="F51" i="12"/>
  <c r="G52" i="12"/>
  <c r="B53" i="12"/>
  <c r="K53" i="16" s="1"/>
  <c r="B84" i="17" l="1"/>
  <c r="D83" i="17"/>
  <c r="C83" i="17"/>
  <c r="H52" i="18"/>
  <c r="D53" i="18"/>
  <c r="B54" i="18"/>
  <c r="G53" i="18"/>
  <c r="F52" i="18"/>
  <c r="E52" i="18"/>
  <c r="B52" i="16"/>
  <c r="E51" i="16"/>
  <c r="D51" i="16"/>
  <c r="E53" i="1"/>
  <c r="F53" i="1" s="1"/>
  <c r="H52" i="1"/>
  <c r="G53" i="1"/>
  <c r="B54" i="1"/>
  <c r="D53" i="1"/>
  <c r="C54" i="1" s="1"/>
  <c r="D53" i="12"/>
  <c r="E52" i="12"/>
  <c r="F52" i="12"/>
  <c r="G53" i="12"/>
  <c r="B54" i="12"/>
  <c r="K54" i="16" s="1"/>
  <c r="B85" i="17" l="1"/>
  <c r="D84" i="17"/>
  <c r="C84" i="17"/>
  <c r="H53" i="18"/>
  <c r="D54" i="18"/>
  <c r="B55" i="18"/>
  <c r="G54" i="18"/>
  <c r="E53" i="18"/>
  <c r="F53" i="18"/>
  <c r="D52" i="16"/>
  <c r="E52" i="16"/>
  <c r="B53" i="16"/>
  <c r="E54" i="1"/>
  <c r="F54" i="1" s="1"/>
  <c r="H53" i="1"/>
  <c r="G54" i="1"/>
  <c r="B55" i="1"/>
  <c r="D54" i="1"/>
  <c r="C55" i="1" s="1"/>
  <c r="D54" i="12"/>
  <c r="E53" i="12"/>
  <c r="F53" i="12"/>
  <c r="G54" i="12"/>
  <c r="B55" i="12"/>
  <c r="K55" i="16" s="1"/>
  <c r="B86" i="17" l="1"/>
  <c r="D85" i="17"/>
  <c r="C85" i="17"/>
  <c r="H54" i="18"/>
  <c r="F54" i="18"/>
  <c r="E54" i="18"/>
  <c r="B56" i="18"/>
  <c r="G55" i="18"/>
  <c r="D55" i="18"/>
  <c r="D53" i="16"/>
  <c r="E53" i="16"/>
  <c r="B54" i="16"/>
  <c r="E55" i="1"/>
  <c r="F55" i="1" s="1"/>
  <c r="H54" i="1"/>
  <c r="G55" i="1"/>
  <c r="D55" i="1"/>
  <c r="C56" i="1" s="1"/>
  <c r="B56" i="1"/>
  <c r="D55" i="12"/>
  <c r="E54" i="12"/>
  <c r="F54" i="12"/>
  <c r="G55" i="12"/>
  <c r="B56" i="12"/>
  <c r="K56" i="16" s="1"/>
  <c r="B87" i="17" l="1"/>
  <c r="D86" i="17"/>
  <c r="C86" i="17"/>
  <c r="H55" i="18"/>
  <c r="D56" i="18"/>
  <c r="G56" i="18"/>
  <c r="B57" i="18"/>
  <c r="F55" i="18"/>
  <c r="E55" i="18"/>
  <c r="B55" i="16"/>
  <c r="E54" i="16"/>
  <c r="D54" i="16"/>
  <c r="E56" i="1"/>
  <c r="F56" i="1" s="1"/>
  <c r="H55" i="1"/>
  <c r="D56" i="1"/>
  <c r="C57" i="1" s="1"/>
  <c r="G56" i="1"/>
  <c r="B57" i="1"/>
  <c r="D56" i="12"/>
  <c r="E55" i="12"/>
  <c r="F55" i="12"/>
  <c r="G56" i="12"/>
  <c r="B57" i="12"/>
  <c r="K57" i="16" s="1"/>
  <c r="B88" i="17" l="1"/>
  <c r="D87" i="17"/>
  <c r="C87" i="17"/>
  <c r="H56" i="18"/>
  <c r="D57" i="18"/>
  <c r="B58" i="18"/>
  <c r="G57" i="18"/>
  <c r="F56" i="18"/>
  <c r="E56" i="18"/>
  <c r="D55" i="16"/>
  <c r="E55" i="16"/>
  <c r="B56" i="16"/>
  <c r="E57" i="1"/>
  <c r="F57" i="1" s="1"/>
  <c r="H56" i="1"/>
  <c r="G57" i="1"/>
  <c r="B58" i="1"/>
  <c r="D57" i="1"/>
  <c r="C58" i="1" s="1"/>
  <c r="D57" i="12"/>
  <c r="E56" i="12"/>
  <c r="F56" i="12"/>
  <c r="G57" i="12"/>
  <c r="B58" i="12"/>
  <c r="K58" i="16" s="1"/>
  <c r="B89" i="17" l="1"/>
  <c r="D88" i="17"/>
  <c r="C88" i="17"/>
  <c r="H57" i="18"/>
  <c r="D58" i="18"/>
  <c r="B59" i="18"/>
  <c r="G58" i="18"/>
  <c r="E57" i="18"/>
  <c r="F57" i="18"/>
  <c r="D56" i="16"/>
  <c r="E56" i="16"/>
  <c r="B57" i="16"/>
  <c r="E58" i="1"/>
  <c r="F58" i="1" s="1"/>
  <c r="H57" i="1"/>
  <c r="G58" i="1"/>
  <c r="B59" i="1"/>
  <c r="D58" i="1"/>
  <c r="C59" i="1" s="1"/>
  <c r="D58" i="12"/>
  <c r="E57" i="12"/>
  <c r="F57" i="12"/>
  <c r="G58" i="12"/>
  <c r="B59" i="12"/>
  <c r="K59" i="16" s="1"/>
  <c r="B90" i="17" l="1"/>
  <c r="D89" i="17"/>
  <c r="C89" i="17"/>
  <c r="H58" i="18"/>
  <c r="B60" i="18"/>
  <c r="G59" i="18"/>
  <c r="D59" i="18"/>
  <c r="F58" i="18"/>
  <c r="E58" i="18"/>
  <c r="B58" i="16"/>
  <c r="E57" i="16"/>
  <c r="D57" i="16"/>
  <c r="E59" i="1"/>
  <c r="F59" i="1" s="1"/>
  <c r="H58" i="1"/>
  <c r="G59" i="1"/>
  <c r="D59" i="1"/>
  <c r="C60" i="1" s="1"/>
  <c r="B60" i="1"/>
  <c r="D59" i="12"/>
  <c r="E58" i="12"/>
  <c r="F58" i="12"/>
  <c r="G59" i="12"/>
  <c r="B60" i="12"/>
  <c r="K60" i="16" s="1"/>
  <c r="B91" i="17" l="1"/>
  <c r="D90" i="17"/>
  <c r="C90" i="17"/>
  <c r="H59" i="18"/>
  <c r="F59" i="18"/>
  <c r="E59" i="18"/>
  <c r="D60" i="18"/>
  <c r="B61" i="18"/>
  <c r="G60" i="18"/>
  <c r="D58" i="16"/>
  <c r="B59" i="16"/>
  <c r="E58" i="16"/>
  <c r="E60" i="1"/>
  <c r="F60" i="1" s="1"/>
  <c r="H59" i="1"/>
  <c r="B61" i="1"/>
  <c r="G60" i="1"/>
  <c r="D60" i="1"/>
  <c r="C61" i="1" s="1"/>
  <c r="D60" i="12"/>
  <c r="E59" i="12"/>
  <c r="F59" i="12"/>
  <c r="G60" i="12"/>
  <c r="B61" i="12"/>
  <c r="K61" i="16" s="1"/>
  <c r="B92" i="17" l="1"/>
  <c r="D91" i="17"/>
  <c r="C91" i="17"/>
  <c r="H60" i="18"/>
  <c r="F60" i="18"/>
  <c r="E60" i="18"/>
  <c r="D61" i="18"/>
  <c r="B62" i="18"/>
  <c r="G61" i="18"/>
  <c r="D59" i="16"/>
  <c r="B60" i="16"/>
  <c r="E59" i="16"/>
  <c r="E61" i="1"/>
  <c r="F61" i="1" s="1"/>
  <c r="H60" i="1"/>
  <c r="B62" i="1"/>
  <c r="G61" i="1"/>
  <c r="D61" i="1"/>
  <c r="C62" i="1" s="1"/>
  <c r="D61" i="12"/>
  <c r="E60" i="12"/>
  <c r="F60" i="12"/>
  <c r="G61" i="12"/>
  <c r="B62" i="12"/>
  <c r="K62" i="16" s="1"/>
  <c r="B93" i="17" l="1"/>
  <c r="D92" i="17"/>
  <c r="C92" i="17"/>
  <c r="H61" i="18"/>
  <c r="E61" i="18"/>
  <c r="F61" i="18"/>
  <c r="D62" i="18"/>
  <c r="B63" i="18"/>
  <c r="G62" i="18"/>
  <c r="D60" i="16"/>
  <c r="E60" i="16"/>
  <c r="B61" i="16"/>
  <c r="E62" i="1"/>
  <c r="F62" i="1" s="1"/>
  <c r="H61" i="1"/>
  <c r="G62" i="1"/>
  <c r="D62" i="1"/>
  <c r="C63" i="1" s="1"/>
  <c r="B63" i="1"/>
  <c r="D62" i="12"/>
  <c r="E61" i="12"/>
  <c r="F61" i="12"/>
  <c r="G62" i="12"/>
  <c r="B63" i="12"/>
  <c r="B94" i="17" l="1"/>
  <c r="D93" i="17"/>
  <c r="C93" i="17"/>
  <c r="K63" i="16"/>
  <c r="H62" i="18"/>
  <c r="F62" i="18"/>
  <c r="E62" i="18"/>
  <c r="B64" i="18"/>
  <c r="G63" i="18"/>
  <c r="D63" i="18"/>
  <c r="B62" i="16"/>
  <c r="D61" i="16"/>
  <c r="E61" i="16"/>
  <c r="E63" i="1"/>
  <c r="F63" i="1" s="1"/>
  <c r="H62" i="1"/>
  <c r="G63" i="1"/>
  <c r="B64" i="1"/>
  <c r="D63" i="1"/>
  <c r="C64" i="1" s="1"/>
  <c r="D63" i="12"/>
  <c r="E62" i="12"/>
  <c r="F62" i="12"/>
  <c r="G63" i="12"/>
  <c r="B95" i="17" l="1"/>
  <c r="D94" i="17"/>
  <c r="C94" i="17"/>
  <c r="H63" i="18"/>
  <c r="D64" i="18"/>
  <c r="G64" i="18"/>
  <c r="F63" i="18"/>
  <c r="E63" i="18"/>
  <c r="D62" i="16"/>
  <c r="E62" i="16"/>
  <c r="B63" i="16"/>
  <c r="E64" i="1"/>
  <c r="F64" i="1" s="1"/>
  <c r="H63" i="1"/>
  <c r="G64" i="1"/>
  <c r="B65" i="1"/>
  <c r="D64" i="1"/>
  <c r="C65" i="1" s="1"/>
  <c r="E63" i="12"/>
  <c r="F63" i="12"/>
  <c r="B96" i="17" l="1"/>
  <c r="D95" i="17"/>
  <c r="C95" i="17"/>
  <c r="H64" i="18"/>
  <c r="F64" i="18"/>
  <c r="E64" i="18"/>
  <c r="D63" i="16"/>
  <c r="E63" i="16"/>
  <c r="B64" i="16"/>
  <c r="E65" i="1"/>
  <c r="F65" i="1" s="1"/>
  <c r="H64" i="1"/>
  <c r="G65" i="1"/>
  <c r="B66" i="1"/>
  <c r="D65" i="1"/>
  <c r="C66" i="1" s="1"/>
  <c r="P9" i="18" l="1"/>
  <c r="O9" i="18"/>
  <c r="B97" i="17"/>
  <c r="D96" i="17"/>
  <c r="C96" i="17"/>
  <c r="E64" i="16"/>
  <c r="D64" i="16"/>
  <c r="B65" i="16"/>
  <c r="E66" i="1"/>
  <c r="F66" i="1" s="1"/>
  <c r="H65" i="1"/>
  <c r="B67" i="1"/>
  <c r="G66" i="1"/>
  <c r="D66" i="1"/>
  <c r="C67" i="1" s="1"/>
  <c r="B98" i="17" l="1"/>
  <c r="D97" i="17"/>
  <c r="C97" i="17"/>
  <c r="E65" i="16"/>
  <c r="D65" i="16"/>
  <c r="B66" i="16"/>
  <c r="E67" i="1"/>
  <c r="F67" i="1" s="1"/>
  <c r="H66" i="1"/>
  <c r="D67" i="1"/>
  <c r="C68" i="1" s="1"/>
  <c r="G67" i="1"/>
  <c r="B68" i="1"/>
  <c r="B99" i="17" l="1"/>
  <c r="D98" i="17"/>
  <c r="C98" i="17"/>
  <c r="E66" i="16"/>
  <c r="B67" i="16"/>
  <c r="D66" i="16"/>
  <c r="E68" i="1"/>
  <c r="F68" i="1" s="1"/>
  <c r="H67" i="1"/>
  <c r="D68" i="1"/>
  <c r="C69" i="1" s="1"/>
  <c r="B69" i="1"/>
  <c r="G68" i="1"/>
  <c r="B100" i="17" l="1"/>
  <c r="D99" i="17"/>
  <c r="C99" i="17"/>
  <c r="E67" i="16"/>
  <c r="B68" i="16"/>
  <c r="D67" i="16"/>
  <c r="E69" i="1"/>
  <c r="F69" i="1" s="1"/>
  <c r="H68" i="1"/>
  <c r="G69" i="1"/>
  <c r="B70" i="1"/>
  <c r="D69" i="1"/>
  <c r="C70" i="1" s="1"/>
  <c r="B101" i="17" l="1"/>
  <c r="D100" i="17"/>
  <c r="C100" i="17"/>
  <c r="E68" i="16"/>
  <c r="B69" i="16"/>
  <c r="D68" i="16"/>
  <c r="E70" i="1"/>
  <c r="F70" i="1" s="1"/>
  <c r="H69" i="1"/>
  <c r="G70" i="1"/>
  <c r="B71" i="1"/>
  <c r="D70" i="1"/>
  <c r="C71" i="1" s="1"/>
  <c r="B102" i="17" l="1"/>
  <c r="D101" i="17"/>
  <c r="C101" i="17"/>
  <c r="E69" i="16"/>
  <c r="D69" i="16"/>
  <c r="B70" i="16"/>
  <c r="E71" i="1"/>
  <c r="F71" i="1" s="1"/>
  <c r="H70" i="1"/>
  <c r="G71" i="1"/>
  <c r="D71" i="1"/>
  <c r="C72" i="1" s="1"/>
  <c r="B72" i="1"/>
  <c r="B103" i="17" l="1"/>
  <c r="D102" i="17"/>
  <c r="C102" i="17"/>
  <c r="D70" i="16"/>
  <c r="B71" i="16"/>
  <c r="E70" i="16"/>
  <c r="E72" i="1"/>
  <c r="F72" i="1" s="1"/>
  <c r="H71" i="1"/>
  <c r="G72" i="1"/>
  <c r="B73" i="1"/>
  <c r="D72" i="1"/>
  <c r="C73" i="1" s="1"/>
  <c r="B104" i="17" l="1"/>
  <c r="D103" i="17"/>
  <c r="C103" i="17"/>
  <c r="B72" i="16"/>
  <c r="D71" i="16"/>
  <c r="E71" i="16"/>
  <c r="E73" i="1"/>
  <c r="F73" i="1" s="1"/>
  <c r="H72" i="1"/>
  <c r="G73" i="1"/>
  <c r="B74" i="1"/>
  <c r="D73" i="1"/>
  <c r="C74" i="1" s="1"/>
  <c r="B105" i="17" l="1"/>
  <c r="D104" i="17"/>
  <c r="C104" i="17"/>
  <c r="B73" i="16"/>
  <c r="D72" i="16"/>
  <c r="E72" i="16"/>
  <c r="E74" i="1"/>
  <c r="F74" i="1" s="1"/>
  <c r="H73" i="1"/>
  <c r="G74" i="1"/>
  <c r="B75" i="1"/>
  <c r="D74" i="1"/>
  <c r="C75" i="1" s="1"/>
  <c r="B106" i="17" l="1"/>
  <c r="D105" i="17"/>
  <c r="C105" i="17"/>
  <c r="D73" i="16"/>
  <c r="E73" i="16"/>
  <c r="B74" i="16"/>
  <c r="E75" i="1"/>
  <c r="F75" i="1" s="1"/>
  <c r="H74" i="1"/>
  <c r="B76" i="1"/>
  <c r="G75" i="1"/>
  <c r="D75" i="1"/>
  <c r="C76" i="1" s="1"/>
  <c r="B107" i="17" l="1"/>
  <c r="D106" i="17"/>
  <c r="C106" i="17"/>
  <c r="B75" i="16"/>
  <c r="E74" i="16"/>
  <c r="D74" i="16"/>
  <c r="E76" i="1"/>
  <c r="F76" i="1" s="1"/>
  <c r="H75" i="1"/>
  <c r="G76" i="1"/>
  <c r="B77" i="1"/>
  <c r="D76" i="1"/>
  <c r="C77" i="1" s="1"/>
  <c r="B108" i="17" l="1"/>
  <c r="D107" i="17"/>
  <c r="C107" i="17"/>
  <c r="B76" i="16"/>
  <c r="D75" i="16"/>
  <c r="E75" i="16"/>
  <c r="E77" i="1"/>
  <c r="F77" i="1" s="1"/>
  <c r="H76" i="1"/>
  <c r="D77" i="1"/>
  <c r="C78" i="1" s="1"/>
  <c r="G77" i="1"/>
  <c r="B78" i="1"/>
  <c r="B109" i="17" l="1"/>
  <c r="D108" i="17"/>
  <c r="C108" i="17"/>
  <c r="E76" i="16"/>
  <c r="B77" i="16"/>
  <c r="D76" i="16"/>
  <c r="E78" i="1"/>
  <c r="F78" i="1" s="1"/>
  <c r="H77" i="1"/>
  <c r="B79" i="1"/>
  <c r="D78" i="1"/>
  <c r="C79" i="1" s="1"/>
  <c r="G78" i="1"/>
  <c r="B110" i="17" l="1"/>
  <c r="D109" i="17"/>
  <c r="C109" i="17"/>
  <c r="B78" i="16"/>
  <c r="E77" i="16"/>
  <c r="D77" i="16"/>
  <c r="E79" i="1"/>
  <c r="F79" i="1" s="1"/>
  <c r="H78" i="1"/>
  <c r="G79" i="1"/>
  <c r="D79" i="1"/>
  <c r="C80" i="1" s="1"/>
  <c r="B80" i="1"/>
  <c r="B111" i="17" l="1"/>
  <c r="D110" i="17"/>
  <c r="C110" i="17"/>
  <c r="E78" i="16"/>
  <c r="B79" i="16"/>
  <c r="D78" i="16"/>
  <c r="E80" i="1"/>
  <c r="F80" i="1" s="1"/>
  <c r="H79" i="1"/>
  <c r="B81" i="1"/>
  <c r="D80" i="1"/>
  <c r="C81" i="1" s="1"/>
  <c r="G80" i="1"/>
  <c r="B112" i="17" l="1"/>
  <c r="D111" i="17"/>
  <c r="C111" i="17"/>
  <c r="E79" i="16"/>
  <c r="D79" i="16"/>
  <c r="B80" i="16"/>
  <c r="E81" i="1"/>
  <c r="F81" i="1" s="1"/>
  <c r="H80" i="1"/>
  <c r="G81" i="1"/>
  <c r="D81" i="1"/>
  <c r="C82" i="1" s="1"/>
  <c r="B82" i="1"/>
  <c r="B113" i="17" l="1"/>
  <c r="D112" i="17"/>
  <c r="C112" i="17"/>
  <c r="D80" i="16"/>
  <c r="B81" i="16"/>
  <c r="E80" i="16"/>
  <c r="E82" i="1"/>
  <c r="F82" i="1" s="1"/>
  <c r="H81" i="1"/>
  <c r="G82" i="1"/>
  <c r="B83" i="1"/>
  <c r="D82" i="1"/>
  <c r="C83" i="1" s="1"/>
  <c r="B114" i="17" l="1"/>
  <c r="D113" i="17"/>
  <c r="C113" i="17"/>
  <c r="D81" i="16"/>
  <c r="B82" i="16"/>
  <c r="E81" i="16"/>
  <c r="E83" i="1"/>
  <c r="F83" i="1" s="1"/>
  <c r="H82" i="1"/>
  <c r="G83" i="1"/>
  <c r="D83" i="1"/>
  <c r="C84" i="1" s="1"/>
  <c r="B84" i="1"/>
  <c r="B115" i="17" l="1"/>
  <c r="D114" i="17"/>
  <c r="C114" i="17"/>
  <c r="D82" i="16"/>
  <c r="B83" i="16"/>
  <c r="E82" i="16"/>
  <c r="E84" i="1"/>
  <c r="F84" i="1" s="1"/>
  <c r="H83" i="1"/>
  <c r="G84" i="1"/>
  <c r="B85" i="1"/>
  <c r="D84" i="1"/>
  <c r="C85" i="1" s="1"/>
  <c r="B116" i="17" l="1"/>
  <c r="D115" i="17"/>
  <c r="C115" i="17"/>
  <c r="D83" i="16"/>
  <c r="B84" i="16"/>
  <c r="E83" i="16"/>
  <c r="E85" i="1"/>
  <c r="F85" i="1" s="1"/>
  <c r="H84" i="1"/>
  <c r="G85" i="1"/>
  <c r="D85" i="1"/>
  <c r="C86" i="1" s="1"/>
  <c r="B86" i="1"/>
  <c r="B117" i="17" l="1"/>
  <c r="D116" i="17"/>
  <c r="C116" i="17"/>
  <c r="D84" i="16"/>
  <c r="E84" i="16"/>
  <c r="B85" i="16"/>
  <c r="E86" i="1"/>
  <c r="F86" i="1" s="1"/>
  <c r="H85" i="1"/>
  <c r="G86" i="1"/>
  <c r="D86" i="1"/>
  <c r="C87" i="1" s="1"/>
  <c r="B87" i="1"/>
  <c r="B118" i="17" l="1"/>
  <c r="D117" i="17"/>
  <c r="C117" i="17"/>
  <c r="D85" i="16"/>
  <c r="B86" i="16"/>
  <c r="E85" i="16"/>
  <c r="E87" i="1"/>
  <c r="F87" i="1" s="1"/>
  <c r="H86" i="1"/>
  <c r="G87" i="1"/>
  <c r="B88" i="1"/>
  <c r="D87" i="1"/>
  <c r="C88" i="1" s="1"/>
  <c r="B119" i="17" l="1"/>
  <c r="D118" i="17"/>
  <c r="C118" i="17"/>
  <c r="D86" i="16"/>
  <c r="E86" i="16"/>
  <c r="B87" i="16"/>
  <c r="E88" i="1"/>
  <c r="F88" i="1" s="1"/>
  <c r="H87" i="1"/>
  <c r="D88" i="1"/>
  <c r="C89" i="1" s="1"/>
  <c r="B89" i="1"/>
  <c r="G88" i="1"/>
  <c r="B120" i="17" l="1"/>
  <c r="D119" i="17"/>
  <c r="C119" i="17"/>
  <c r="D87" i="16"/>
  <c r="E87" i="16"/>
  <c r="B88" i="16"/>
  <c r="E89" i="1"/>
  <c r="F89" i="1" s="1"/>
  <c r="H88" i="1"/>
  <c r="G89" i="1"/>
  <c r="D89" i="1"/>
  <c r="C90" i="1" s="1"/>
  <c r="B90" i="1"/>
  <c r="B121" i="17" l="1"/>
  <c r="D120" i="17"/>
  <c r="C120" i="17"/>
  <c r="D88" i="16"/>
  <c r="B89" i="16"/>
  <c r="E88" i="16"/>
  <c r="E90" i="1"/>
  <c r="F90" i="1" s="1"/>
  <c r="H89" i="1"/>
  <c r="G90" i="1"/>
  <c r="B91" i="1"/>
  <c r="D90" i="1"/>
  <c r="C91" i="1" s="1"/>
  <c r="B122" i="17" l="1"/>
  <c r="D121" i="17"/>
  <c r="C121" i="17"/>
  <c r="B90" i="16"/>
  <c r="E89" i="16"/>
  <c r="D89" i="16"/>
  <c r="E91" i="1"/>
  <c r="F91" i="1" s="1"/>
  <c r="H90" i="1"/>
  <c r="G91" i="1"/>
  <c r="B92" i="1"/>
  <c r="D91" i="1"/>
  <c r="C92" i="1" s="1"/>
  <c r="B123" i="17" l="1"/>
  <c r="D122" i="17"/>
  <c r="C122" i="17"/>
  <c r="D90" i="16"/>
  <c r="E90" i="16"/>
  <c r="B91" i="16"/>
  <c r="E92" i="1"/>
  <c r="F92" i="1" s="1"/>
  <c r="H91" i="1"/>
  <c r="G92" i="1"/>
  <c r="D92" i="1"/>
  <c r="C93" i="1" s="1"/>
  <c r="B93" i="1"/>
  <c r="B124" i="17" l="1"/>
  <c r="D123" i="17"/>
  <c r="C123" i="17"/>
  <c r="E91" i="16"/>
  <c r="B92" i="16"/>
  <c r="D91" i="16"/>
  <c r="E93" i="1"/>
  <c r="F93" i="1" s="1"/>
  <c r="H92" i="1"/>
  <c r="G93" i="1"/>
  <c r="D93" i="1"/>
  <c r="C94" i="1" s="1"/>
  <c r="B94" i="1"/>
  <c r="B125" i="17" l="1"/>
  <c r="D124" i="17"/>
  <c r="C124" i="17"/>
  <c r="D92" i="16"/>
  <c r="E92" i="16"/>
  <c r="B93" i="16"/>
  <c r="E94" i="1"/>
  <c r="F94" i="1" s="1"/>
  <c r="H93" i="1"/>
  <c r="G94" i="1"/>
  <c r="B95" i="1"/>
  <c r="D94" i="1"/>
  <c r="C95" i="1" s="1"/>
  <c r="B126" i="17" l="1"/>
  <c r="D125" i="17"/>
  <c r="C125" i="17"/>
  <c r="E93" i="16"/>
  <c r="D93" i="16"/>
  <c r="B94" i="16"/>
  <c r="E95" i="1"/>
  <c r="F95" i="1" s="1"/>
  <c r="H94" i="1"/>
  <c r="G95" i="1"/>
  <c r="B96" i="1"/>
  <c r="D95" i="1"/>
  <c r="C96" i="1" s="1"/>
  <c r="B127" i="17" l="1"/>
  <c r="D126" i="17"/>
  <c r="C126" i="17"/>
  <c r="D94" i="16"/>
  <c r="E94" i="16"/>
  <c r="B95" i="16"/>
  <c r="E96" i="1"/>
  <c r="F96" i="1" s="1"/>
  <c r="H95" i="1"/>
  <c r="B97" i="1"/>
  <c r="G96" i="1"/>
  <c r="D96" i="1"/>
  <c r="C97" i="1" s="1"/>
  <c r="B128" i="17" l="1"/>
  <c r="D127" i="17"/>
  <c r="C127" i="17"/>
  <c r="E95" i="16"/>
  <c r="B96" i="16"/>
  <c r="D95" i="16"/>
  <c r="E97" i="1"/>
  <c r="F97" i="1" s="1"/>
  <c r="H96" i="1"/>
  <c r="B98" i="1"/>
  <c r="G97" i="1"/>
  <c r="D97" i="1"/>
  <c r="C98" i="1" s="1"/>
  <c r="B129" i="17" l="1"/>
  <c r="D128" i="17"/>
  <c r="C128" i="17"/>
  <c r="B97" i="16"/>
  <c r="D96" i="16"/>
  <c r="E96" i="16"/>
  <c r="E98" i="1"/>
  <c r="F98" i="1" s="1"/>
  <c r="H97" i="1"/>
  <c r="D98" i="1"/>
  <c r="C99" i="1" s="1"/>
  <c r="B99" i="1"/>
  <c r="G98" i="1"/>
  <c r="B130" i="17" l="1"/>
  <c r="D129" i="17"/>
  <c r="C129" i="17"/>
  <c r="E97" i="16"/>
  <c r="B98" i="16"/>
  <c r="D97" i="16"/>
  <c r="E99" i="1"/>
  <c r="F99" i="1" s="1"/>
  <c r="H98" i="1"/>
  <c r="G99" i="1"/>
  <c r="B100" i="1"/>
  <c r="D99" i="1"/>
  <c r="C100" i="1" s="1"/>
  <c r="B131" i="17" l="1"/>
  <c r="D130" i="17"/>
  <c r="C130" i="17"/>
  <c r="D98" i="16"/>
  <c r="E98" i="16"/>
  <c r="B99" i="16"/>
  <c r="E100" i="1"/>
  <c r="F100" i="1" s="1"/>
  <c r="H99" i="1"/>
  <c r="G100" i="1"/>
  <c r="B101" i="1"/>
  <c r="D100" i="1"/>
  <c r="C101" i="1" s="1"/>
  <c r="B132" i="17" l="1"/>
  <c r="D131" i="17"/>
  <c r="C131" i="17"/>
  <c r="E99" i="16"/>
  <c r="B100" i="16"/>
  <c r="D99" i="16"/>
  <c r="E101" i="1"/>
  <c r="F101" i="1" s="1"/>
  <c r="H100" i="1"/>
  <c r="B102" i="1"/>
  <c r="G101" i="1"/>
  <c r="D101" i="1"/>
  <c r="C102" i="1" s="1"/>
  <c r="B133" i="17" l="1"/>
  <c r="D132" i="17"/>
  <c r="C132" i="17"/>
  <c r="D100" i="16"/>
  <c r="B101" i="16"/>
  <c r="E100" i="16"/>
  <c r="E102" i="1"/>
  <c r="F102" i="1" s="1"/>
  <c r="H101" i="1"/>
  <c r="D102" i="1"/>
  <c r="C103" i="1" s="1"/>
  <c r="G102" i="1"/>
  <c r="B103" i="1"/>
  <c r="D133" i="17" l="1"/>
  <c r="C133" i="17"/>
  <c r="E101" i="16"/>
  <c r="D101" i="16"/>
  <c r="B102" i="16"/>
  <c r="E103" i="1"/>
  <c r="F103" i="1" s="1"/>
  <c r="H102" i="1"/>
  <c r="D103" i="1"/>
  <c r="C104" i="1" s="1"/>
  <c r="G103" i="1"/>
  <c r="B104" i="1"/>
  <c r="D102" i="16" l="1"/>
  <c r="E102" i="16"/>
  <c r="B103" i="16"/>
  <c r="E104" i="1"/>
  <c r="F104" i="1" s="1"/>
  <c r="H103" i="1"/>
  <c r="G104" i="1"/>
  <c r="B105" i="1"/>
  <c r="D104" i="1"/>
  <c r="C105" i="1" s="1"/>
  <c r="E103" i="16" l="1"/>
  <c r="B104" i="16"/>
  <c r="D103" i="16"/>
  <c r="E105" i="1"/>
  <c r="F105" i="1" s="1"/>
  <c r="H104" i="1"/>
  <c r="G105" i="1"/>
  <c r="B106" i="1"/>
  <c r="D105" i="1"/>
  <c r="C106" i="1" s="1"/>
  <c r="D104" i="16" l="1"/>
  <c r="E104" i="16"/>
  <c r="B105" i="16"/>
  <c r="E106" i="1"/>
  <c r="F106" i="1" s="1"/>
  <c r="H105" i="1"/>
  <c r="G106" i="1"/>
  <c r="D106" i="1"/>
  <c r="C107" i="1" s="1"/>
  <c r="B107" i="1"/>
  <c r="E105" i="16" l="1"/>
  <c r="D105" i="16"/>
  <c r="B106" i="16"/>
  <c r="E107" i="1"/>
  <c r="F107" i="1" s="1"/>
  <c r="H106" i="1"/>
  <c r="G107" i="1"/>
  <c r="B108" i="1"/>
  <c r="D107" i="1"/>
  <c r="C108" i="1" s="1"/>
  <c r="B107" i="16" l="1"/>
  <c r="D106" i="16"/>
  <c r="E106" i="16"/>
  <c r="E108" i="1"/>
  <c r="F108" i="1" s="1"/>
  <c r="H107" i="1"/>
  <c r="D108" i="1"/>
  <c r="C109" i="1" s="1"/>
  <c r="B109" i="1"/>
  <c r="G108" i="1"/>
  <c r="D107" i="16" l="1"/>
  <c r="E107" i="16"/>
  <c r="B108" i="16"/>
  <c r="E109" i="1"/>
  <c r="F109" i="1" s="1"/>
  <c r="H108" i="1"/>
  <c r="G109" i="1"/>
  <c r="D109" i="1"/>
  <c r="C110" i="1" s="1"/>
  <c r="B110" i="1"/>
  <c r="D108" i="16" l="1"/>
  <c r="E108" i="16"/>
  <c r="E110" i="1"/>
  <c r="F110" i="1" s="1"/>
  <c r="H109" i="1"/>
  <c r="B111" i="1"/>
  <c r="G110" i="1"/>
  <c r="D110" i="1"/>
  <c r="C111" i="1" s="1"/>
  <c r="E111" i="1" l="1"/>
  <c r="F111" i="1" s="1"/>
  <c r="H110" i="1"/>
  <c r="G111" i="1"/>
  <c r="D111" i="1"/>
  <c r="C112" i="1" s="1"/>
  <c r="B112" i="1"/>
  <c r="E112" i="1" l="1"/>
  <c r="F112" i="1" s="1"/>
  <c r="H111" i="1"/>
  <c r="G112" i="1"/>
  <c r="B113" i="1"/>
  <c r="D112" i="1"/>
  <c r="C113" i="1" s="1"/>
  <c r="E113" i="1" l="1"/>
  <c r="F113" i="1" s="1"/>
  <c r="H112" i="1"/>
  <c r="G113" i="1"/>
  <c r="D113" i="1"/>
  <c r="E19" i="12"/>
  <c r="C11" i="1"/>
  <c r="F19" i="12"/>
  <c r="I19" i="12" s="1"/>
  <c r="C20" i="16" l="1"/>
  <c r="F20" i="16" s="1"/>
  <c r="H113" i="1"/>
  <c r="H20" i="12"/>
  <c r="H20" i="16" l="1"/>
  <c r="G4" i="1"/>
  <c r="I20" i="12"/>
  <c r="H21" i="12"/>
  <c r="C21" i="16" l="1"/>
  <c r="F21" i="16" s="1"/>
  <c r="G6" i="1"/>
  <c r="G5" i="1" s="1"/>
  <c r="F11" i="1"/>
  <c r="H22" i="12"/>
  <c r="I21" i="12"/>
  <c r="C22" i="16" l="1"/>
  <c r="F22" i="16" s="1"/>
  <c r="H22" i="16" s="1"/>
  <c r="H21" i="16"/>
  <c r="H23" i="12"/>
  <c r="I22" i="12"/>
  <c r="C23" i="16" l="1"/>
  <c r="F23" i="16" s="1"/>
  <c r="I23" i="12"/>
  <c r="H24" i="12"/>
  <c r="C24" i="16" l="1"/>
  <c r="F24" i="16" s="1"/>
  <c r="H24" i="16" s="1"/>
  <c r="H23" i="16"/>
  <c r="H25" i="12"/>
  <c r="I24" i="12"/>
  <c r="C25" i="16" l="1"/>
  <c r="F25" i="16" s="1"/>
  <c r="H25" i="16" s="1"/>
  <c r="H26" i="12"/>
  <c r="I25" i="12"/>
  <c r="C26" i="16" l="1"/>
  <c r="F26" i="16" s="1"/>
  <c r="I26" i="12"/>
  <c r="H27" i="12"/>
  <c r="C27" i="16" l="1"/>
  <c r="F27" i="16" s="1"/>
  <c r="H27" i="16" s="1"/>
  <c r="H26" i="16"/>
  <c r="H28" i="12"/>
  <c r="I27" i="12"/>
  <c r="C28" i="16" l="1"/>
  <c r="F28" i="16" s="1"/>
  <c r="H28" i="16" s="1"/>
  <c r="I28" i="12"/>
  <c r="H29" i="12"/>
  <c r="C29" i="16" l="1"/>
  <c r="F29" i="16" s="1"/>
  <c r="H29" i="16" s="1"/>
  <c r="I29" i="12"/>
  <c r="H30" i="12"/>
  <c r="C30" i="16" l="1"/>
  <c r="F30" i="16" s="1"/>
  <c r="H30" i="16" s="1"/>
  <c r="I30" i="12"/>
  <c r="H31" i="12"/>
  <c r="C31" i="16" l="1"/>
  <c r="F31" i="16" s="1"/>
  <c r="H31" i="16" s="1"/>
  <c r="I31" i="12"/>
  <c r="H32" i="12"/>
  <c r="C32" i="16" l="1"/>
  <c r="F32" i="16" s="1"/>
  <c r="H32" i="16" s="1"/>
  <c r="H33" i="12"/>
  <c r="I32" i="12"/>
  <c r="C33" i="16" l="1"/>
  <c r="F33" i="16" s="1"/>
  <c r="H33" i="16" s="1"/>
  <c r="I33" i="12"/>
  <c r="H34" i="12"/>
  <c r="C34" i="16" l="1"/>
  <c r="F34" i="16" s="1"/>
  <c r="H34" i="16" s="1"/>
  <c r="I34" i="12"/>
  <c r="H35" i="12"/>
  <c r="C35" i="16" l="1"/>
  <c r="F35" i="16" s="1"/>
  <c r="H35" i="16" s="1"/>
  <c r="I35" i="12"/>
  <c r="H36" i="12"/>
  <c r="C36" i="16" l="1"/>
  <c r="F36" i="16" s="1"/>
  <c r="H36" i="16" s="1"/>
  <c r="H37" i="12"/>
  <c r="I36" i="12"/>
  <c r="C37" i="16" l="1"/>
  <c r="F37" i="16" s="1"/>
  <c r="H37" i="16" s="1"/>
  <c r="H38" i="12"/>
  <c r="I37" i="12"/>
  <c r="C38" i="16" l="1"/>
  <c r="F38" i="16" s="1"/>
  <c r="H38" i="16" s="1"/>
  <c r="H39" i="12"/>
  <c r="I38" i="12"/>
  <c r="C39" i="16" l="1"/>
  <c r="F39" i="16" s="1"/>
  <c r="H39" i="16" s="1"/>
  <c r="I39" i="12"/>
  <c r="H40" i="12"/>
  <c r="C40" i="16" l="1"/>
  <c r="F40" i="16" s="1"/>
  <c r="H40" i="16" s="1"/>
  <c r="H41" i="12"/>
  <c r="I40" i="12"/>
  <c r="C41" i="16" l="1"/>
  <c r="F41" i="16" s="1"/>
  <c r="H41" i="16" s="1"/>
  <c r="I41" i="12"/>
  <c r="H42" i="12"/>
  <c r="C42" i="16" l="1"/>
  <c r="F42" i="16" s="1"/>
  <c r="H42" i="16" s="1"/>
  <c r="I42" i="12"/>
  <c r="H43" i="12"/>
  <c r="C43" i="16" l="1"/>
  <c r="F43" i="16" s="1"/>
  <c r="H43" i="16" s="1"/>
  <c r="I43" i="12"/>
  <c r="H44" i="12"/>
  <c r="C44" i="16" l="1"/>
  <c r="F44" i="16" s="1"/>
  <c r="H44" i="16" s="1"/>
  <c r="I44" i="12"/>
  <c r="H45" i="12"/>
  <c r="C45" i="16" l="1"/>
  <c r="F45" i="16" s="1"/>
  <c r="H45" i="16" s="1"/>
  <c r="I45" i="12"/>
  <c r="H46" i="12"/>
  <c r="C46" i="16" l="1"/>
  <c r="F46" i="16" s="1"/>
  <c r="H46" i="16" s="1"/>
  <c r="H47" i="12"/>
  <c r="I46" i="12"/>
  <c r="C47" i="16" l="1"/>
  <c r="F47" i="16" s="1"/>
  <c r="H47" i="16" s="1"/>
  <c r="I47" i="12"/>
  <c r="H48" i="12"/>
  <c r="C48" i="16" l="1"/>
  <c r="F48" i="16" s="1"/>
  <c r="H48" i="16" s="1"/>
  <c r="H49" i="12"/>
  <c r="I48" i="12"/>
  <c r="C49" i="16" l="1"/>
  <c r="F49" i="16" s="1"/>
  <c r="H49" i="16" s="1"/>
  <c r="H50" i="12"/>
  <c r="I49" i="12"/>
  <c r="C50" i="16" l="1"/>
  <c r="F50" i="16" s="1"/>
  <c r="H50" i="16" s="1"/>
  <c r="I50" i="12"/>
  <c r="H51" i="12"/>
  <c r="C51" i="16" l="1"/>
  <c r="F51" i="16" s="1"/>
  <c r="H51" i="16" s="1"/>
  <c r="I51" i="12"/>
  <c r="H52" i="12"/>
  <c r="C52" i="16" l="1"/>
  <c r="F52" i="16" s="1"/>
  <c r="H52" i="16" s="1"/>
  <c r="I52" i="12"/>
  <c r="H53" i="12"/>
  <c r="C53" i="16" l="1"/>
  <c r="F53" i="16" s="1"/>
  <c r="H53" i="16" s="1"/>
  <c r="I53" i="12"/>
  <c r="H54" i="12"/>
  <c r="C54" i="16" l="1"/>
  <c r="F54" i="16" s="1"/>
  <c r="H54" i="16" s="1"/>
  <c r="I54" i="12"/>
  <c r="H55" i="12"/>
  <c r="C55" i="16" l="1"/>
  <c r="F55" i="16" s="1"/>
  <c r="H55" i="16" s="1"/>
  <c r="I55" i="12"/>
  <c r="H56" i="12"/>
  <c r="C56" i="16" l="1"/>
  <c r="F56" i="16" s="1"/>
  <c r="H56" i="16" s="1"/>
  <c r="I56" i="12"/>
  <c r="H57" i="12"/>
  <c r="C57" i="16" l="1"/>
  <c r="F57" i="16" s="1"/>
  <c r="H57" i="16" s="1"/>
  <c r="I57" i="12"/>
  <c r="H58" i="12"/>
  <c r="C58" i="16" l="1"/>
  <c r="F58" i="16" s="1"/>
  <c r="H58" i="16" s="1"/>
  <c r="I58" i="12"/>
  <c r="C59" i="16" s="1"/>
  <c r="H59" i="12"/>
  <c r="F59" i="16" l="1"/>
  <c r="H59" i="16" s="1"/>
  <c r="I59" i="12"/>
  <c r="C60" i="16" s="1"/>
  <c r="H60" i="12"/>
  <c r="F60" i="16" l="1"/>
  <c r="H60" i="16" s="1"/>
  <c r="I60" i="12"/>
  <c r="C61" i="16" s="1"/>
  <c r="H61" i="12"/>
  <c r="F61" i="16" l="1"/>
  <c r="H61" i="16" s="1"/>
  <c r="I61" i="12"/>
  <c r="C62" i="16" s="1"/>
  <c r="H62" i="12"/>
  <c r="F62" i="16" l="1"/>
  <c r="H62" i="16" s="1"/>
  <c r="H63" i="12"/>
  <c r="I62" i="12"/>
  <c r="C63" i="16" s="1"/>
  <c r="O8" i="18" l="1"/>
  <c r="P8" i="18"/>
  <c r="F63" i="16"/>
  <c r="H63" i="16" s="1"/>
  <c r="C64" i="16"/>
  <c r="I63" i="12"/>
  <c r="I9" i="12" s="1"/>
  <c r="K10" i="12" l="1"/>
  <c r="DB10" i="12"/>
  <c r="L10" i="12"/>
  <c r="AZ10" i="12"/>
  <c r="AD10" i="12"/>
  <c r="AV10" i="12"/>
  <c r="T10" i="12"/>
  <c r="BV10" i="12"/>
  <c r="BJ10" i="12"/>
  <c r="CE10" i="12"/>
  <c r="AC10" i="12"/>
  <c r="BG10" i="12"/>
  <c r="CF10" i="12"/>
  <c r="AT10" i="12"/>
  <c r="CQ10" i="12"/>
  <c r="BQ10" i="12"/>
  <c r="BU10" i="12"/>
  <c r="O10" i="12"/>
  <c r="BS10" i="12"/>
  <c r="U10" i="12"/>
  <c r="DD10" i="12"/>
  <c r="BI10" i="12"/>
  <c r="BY10" i="12"/>
  <c r="DE10" i="12"/>
  <c r="AA10" i="12"/>
  <c r="CN10" i="12"/>
  <c r="BN10" i="12"/>
  <c r="BL10" i="12"/>
  <c r="AP10" i="12"/>
  <c r="AN10" i="12"/>
  <c r="DI10" i="12"/>
  <c r="AS10" i="12"/>
  <c r="CM10" i="12"/>
  <c r="BD10" i="12"/>
  <c r="AR10" i="12"/>
  <c r="CB10" i="12"/>
  <c r="AJ10" i="12"/>
  <c r="BX10" i="12"/>
  <c r="CS10" i="12"/>
  <c r="W10" i="12"/>
  <c r="AF10" i="12"/>
  <c r="BM10" i="12"/>
  <c r="BF10" i="12"/>
  <c r="CK10" i="12"/>
  <c r="CY10" i="12"/>
  <c r="DH10" i="12"/>
  <c r="CU10" i="12"/>
  <c r="CG10" i="12"/>
  <c r="X10" i="12"/>
  <c r="CL10" i="12"/>
  <c r="DA10" i="12"/>
  <c r="AI10" i="12"/>
  <c r="BK10" i="12"/>
  <c r="CC10" i="12"/>
  <c r="Z10" i="12"/>
  <c r="DJ10" i="12"/>
  <c r="AO10" i="12"/>
  <c r="AK10" i="12"/>
  <c r="AY10" i="12"/>
  <c r="DF10" i="12"/>
  <c r="BH10" i="12"/>
  <c r="BB10" i="12"/>
  <c r="AH10" i="12"/>
  <c r="P10" i="12"/>
  <c r="AX10" i="12"/>
  <c r="AM10" i="12"/>
  <c r="AU10" i="12"/>
  <c r="AQ10" i="12"/>
  <c r="S10" i="12"/>
  <c r="CV10" i="12"/>
  <c r="AB10" i="12"/>
  <c r="R10" i="12"/>
  <c r="CA10" i="12"/>
  <c r="BE10" i="12"/>
  <c r="Q10" i="12"/>
  <c r="CD10" i="12"/>
  <c r="DC10" i="12"/>
  <c r="BR10" i="12"/>
  <c r="BA10" i="12"/>
  <c r="CP10" i="12"/>
  <c r="CJ10" i="12"/>
  <c r="AE10" i="12"/>
  <c r="CH10" i="12"/>
  <c r="AL10" i="12"/>
  <c r="BC10" i="12"/>
  <c r="DG10" i="12"/>
  <c r="AW10" i="12"/>
  <c r="BP10" i="12"/>
  <c r="Y10" i="12"/>
  <c r="CI10" i="12"/>
  <c r="BZ10" i="12"/>
  <c r="CX10" i="12"/>
  <c r="V10" i="12"/>
  <c r="CW10" i="12"/>
  <c r="CR10" i="12"/>
  <c r="BO10" i="12"/>
  <c r="AG10" i="12"/>
  <c r="CO10" i="12"/>
  <c r="BW10" i="12"/>
  <c r="CT10" i="12"/>
  <c r="BT10" i="12"/>
  <c r="CZ10" i="12"/>
  <c r="C65" i="16"/>
  <c r="F64" i="16"/>
  <c r="H64" i="16" s="1"/>
  <c r="L6" i="18" l="1"/>
  <c r="K6" i="18"/>
  <c r="K8" i="18" s="1"/>
  <c r="K7" i="18" s="1"/>
  <c r="J6" i="18"/>
  <c r="J8" i="18" s="1"/>
  <c r="J7" i="18" s="1"/>
  <c r="K6" i="12" s="1"/>
  <c r="I9" i="16"/>
  <c r="L6" i="12"/>
  <c r="K10" i="16"/>
  <c r="L10" i="16"/>
  <c r="F65" i="16"/>
  <c r="H65" i="16" s="1"/>
  <c r="C66" i="16"/>
  <c r="K7" i="12" l="1"/>
  <c r="L8" i="18"/>
  <c r="L7" i="18" s="1"/>
  <c r="K11" i="16"/>
  <c r="F66" i="16"/>
  <c r="H66" i="16" s="1"/>
  <c r="C67" i="16"/>
  <c r="F67" i="16" l="1"/>
  <c r="H67" i="16" s="1"/>
  <c r="C68" i="16"/>
  <c r="F68" i="16" l="1"/>
  <c r="H68" i="16" s="1"/>
  <c r="C69" i="16"/>
  <c r="F69" i="16" l="1"/>
  <c r="H69" i="16" s="1"/>
  <c r="C70" i="16"/>
  <c r="F70" i="16" l="1"/>
  <c r="H70" i="16" s="1"/>
  <c r="C71" i="16"/>
  <c r="C72" i="16" l="1"/>
  <c r="F71" i="16"/>
  <c r="H71" i="16" s="1"/>
  <c r="F72" i="16" l="1"/>
  <c r="H72" i="16" s="1"/>
  <c r="C73" i="16"/>
  <c r="F73" i="16" l="1"/>
  <c r="H73" i="16" s="1"/>
  <c r="C74" i="16"/>
  <c r="C75" i="16" l="1"/>
  <c r="F74" i="16"/>
  <c r="H74" i="16" s="1"/>
  <c r="C76" i="16" l="1"/>
  <c r="F75" i="16"/>
  <c r="H75" i="16" s="1"/>
  <c r="C77" i="16" l="1"/>
  <c r="F76" i="16"/>
  <c r="H76" i="16" s="1"/>
  <c r="F77" i="16" l="1"/>
  <c r="H77" i="16" s="1"/>
  <c r="C78" i="16"/>
  <c r="F78" i="16" l="1"/>
  <c r="H78" i="16" s="1"/>
  <c r="C79" i="16"/>
  <c r="C80" i="16" l="1"/>
  <c r="F79" i="16"/>
  <c r="H79" i="16" s="1"/>
  <c r="C81" i="16" l="1"/>
  <c r="F80" i="16"/>
  <c r="H80" i="16" s="1"/>
  <c r="C82" i="16" l="1"/>
  <c r="F81" i="16"/>
  <c r="H81" i="16" s="1"/>
  <c r="C83" i="16" l="1"/>
  <c r="F82" i="16"/>
  <c r="H82" i="16" s="1"/>
  <c r="C84" i="16" l="1"/>
  <c r="F83" i="16"/>
  <c r="H83" i="16" s="1"/>
  <c r="F84" i="16" l="1"/>
  <c r="H84" i="16" s="1"/>
  <c r="C85" i="16"/>
  <c r="F85" i="16" l="1"/>
  <c r="H85" i="16" s="1"/>
  <c r="C86" i="16"/>
  <c r="C87" i="16" l="1"/>
  <c r="F86" i="16"/>
  <c r="H86" i="16" s="1"/>
  <c r="F87" i="16" l="1"/>
  <c r="H87" i="16" s="1"/>
  <c r="C88" i="16"/>
  <c r="C89" i="16" l="1"/>
  <c r="F88" i="16"/>
  <c r="H88" i="16" s="1"/>
  <c r="C90" i="16" l="1"/>
  <c r="F89" i="16"/>
  <c r="H89" i="16" s="1"/>
  <c r="F90" i="16" l="1"/>
  <c r="H90" i="16" s="1"/>
  <c r="C91" i="16"/>
  <c r="F91" i="16" l="1"/>
  <c r="H91" i="16" s="1"/>
  <c r="C92" i="16"/>
  <c r="C93" i="16" l="1"/>
  <c r="F92" i="16"/>
  <c r="H92" i="16" s="1"/>
  <c r="F93" i="16" l="1"/>
  <c r="H93" i="16" s="1"/>
  <c r="C94" i="16"/>
  <c r="F94" i="16" l="1"/>
  <c r="H94" i="16" s="1"/>
  <c r="C95" i="16"/>
  <c r="F95" i="16" l="1"/>
  <c r="H95" i="16" s="1"/>
  <c r="C96" i="16"/>
  <c r="C97" i="16" l="1"/>
  <c r="F96" i="16"/>
  <c r="H96" i="16" s="1"/>
  <c r="C98" i="16" l="1"/>
  <c r="F97" i="16"/>
  <c r="H97" i="16" s="1"/>
  <c r="F98" i="16" l="1"/>
  <c r="H98" i="16" s="1"/>
  <c r="C99" i="16"/>
  <c r="F99" i="16" l="1"/>
  <c r="H99" i="16" s="1"/>
  <c r="C100" i="16"/>
  <c r="C101" i="16" l="1"/>
  <c r="F100" i="16"/>
  <c r="H100" i="16" s="1"/>
  <c r="C102" i="16" l="1"/>
  <c r="F101" i="16"/>
  <c r="H101" i="16" s="1"/>
  <c r="C103" i="16" l="1"/>
  <c r="F102" i="16"/>
  <c r="H102" i="16" s="1"/>
  <c r="C104" i="16" l="1"/>
  <c r="F103" i="16"/>
  <c r="H103" i="16" s="1"/>
  <c r="F104" i="16" l="1"/>
  <c r="H104" i="16" s="1"/>
  <c r="C105" i="16"/>
  <c r="F105" i="16" l="1"/>
  <c r="H105" i="16" s="1"/>
  <c r="C106" i="16"/>
  <c r="F106" i="16" l="1"/>
  <c r="H106" i="16" s="1"/>
  <c r="C107" i="16"/>
  <c r="F107" i="16" l="1"/>
  <c r="H107" i="16" s="1"/>
  <c r="C108" i="16"/>
  <c r="F108" i="16" s="1"/>
  <c r="H108" i="16" l="1"/>
  <c r="H9" i="16" s="1"/>
  <c r="F9" i="16"/>
  <c r="H10" i="16" l="1"/>
  <c r="I10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I9" authorId="0" shapeId="0" xr:uid="{9A31689E-0F05-48B0-8850-5CE300C5E00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Withdrawal and death decrements are not included in future working lifetime because the plan only gives benefits for retirement</t>
        </r>
      </text>
    </comment>
    <comment ref="H13" authorId="0" shapeId="0" xr:uid="{A0E7592A-7523-448E-B3E3-8D8B253113F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These cells are dependent on retirement status. If you change these, don't copy and paste them.</t>
        </r>
      </text>
    </comment>
    <comment ref="I13" authorId="0" shapeId="0" xr:uid="{F3146164-72B3-4C31-B9EA-735259EEB56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These cells are dependent on retirement status. If you change these, don't copy and paste them.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4" authorId="0" shapeId="0" xr:uid="{1BE181B0-DF91-4CE4-93D0-6DADBFAF09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These cells are dependent on retirement status. If you change these, don't copy and paste them.</t>
        </r>
      </text>
    </comment>
  </commentList>
</comments>
</file>

<file path=xl/sharedStrings.xml><?xml version="1.0" encoding="utf-8"?>
<sst xmlns="http://schemas.openxmlformats.org/spreadsheetml/2006/main" count="351" uniqueCount="214">
  <si>
    <t>cen.yr</t>
  </si>
  <si>
    <t>ElAge</t>
  </si>
  <si>
    <t>ElSvc</t>
  </si>
  <si>
    <t>Member</t>
  </si>
  <si>
    <t>Status</t>
  </si>
  <si>
    <t>Age</t>
  </si>
  <si>
    <t>Service</t>
  </si>
  <si>
    <t>Sex</t>
  </si>
  <si>
    <t>Active</t>
  </si>
  <si>
    <t>M</t>
  </si>
  <si>
    <t>F</t>
  </si>
  <si>
    <t>Retired</t>
  </si>
  <si>
    <t>PreM</t>
  </si>
  <si>
    <t>PreF</t>
  </si>
  <si>
    <t>PostM</t>
  </si>
  <si>
    <t>PostF</t>
  </si>
  <si>
    <t>pre.65</t>
  </si>
  <si>
    <t>post.65</t>
  </si>
  <si>
    <t>trend</t>
  </si>
  <si>
    <t>disc</t>
  </si>
  <si>
    <t>Actives</t>
  </si>
  <si>
    <t>PVB</t>
  </si>
  <si>
    <t>Check</t>
  </si>
  <si>
    <t>sal.scale</t>
  </si>
  <si>
    <t>EAN</t>
  </si>
  <si>
    <t>PUC</t>
  </si>
  <si>
    <t>AAL</t>
  </si>
  <si>
    <t>NC</t>
  </si>
  <si>
    <t>EANAL</t>
  </si>
  <si>
    <t>EANC</t>
  </si>
  <si>
    <t>Payments are beginning of year</t>
  </si>
  <si>
    <t>No spouse coverage</t>
  </si>
  <si>
    <t>Ret - retirement table used (CalPERS 2% @ 60)</t>
  </si>
  <si>
    <t>Withd - withdrawal table used (CalPERS)</t>
  </si>
  <si>
    <t>Mort - mortality tables used (CalPERS)</t>
  </si>
  <si>
    <t>Assumptions - documents actuarial assumptions used</t>
  </si>
  <si>
    <t>Calculation sheets:</t>
  </si>
  <si>
    <t>Input sheets:</t>
  </si>
  <si>
    <t>This is the calculation for one person at one specific retirement age</t>
  </si>
  <si>
    <t>Person</t>
  </si>
  <si>
    <t>Current age</t>
  </si>
  <si>
    <t>Hire age</t>
  </si>
  <si>
    <t>Min ret age</t>
  </si>
  <si>
    <t>Min ret svc</t>
  </si>
  <si>
    <t>Retirements</t>
  </si>
  <si>
    <t>Ret Age</t>
  </si>
  <si>
    <t>Survival</t>
  </si>
  <si>
    <t>Mortality</t>
  </si>
  <si>
    <t>Payout</t>
  </si>
  <si>
    <t>Expected Payout</t>
  </si>
  <si>
    <t>Present Value</t>
  </si>
  <si>
    <t>Discount Factor</t>
  </si>
  <si>
    <t>Withdrawal</t>
  </si>
  <si>
    <t>Retirement</t>
  </si>
  <si>
    <t>This is the decrement table for one person, from hire age to 50 years of service</t>
  </si>
  <si>
    <t>Eligible?</t>
  </si>
  <si>
    <t>Decrement Rates</t>
  </si>
  <si>
    <t>SC (PUCNC)</t>
  </si>
  <si>
    <t>APBO (PUCAL)</t>
  </si>
  <si>
    <t>eff.rate</t>
  </si>
  <si>
    <t>&lt;&lt; Actives only</t>
  </si>
  <si>
    <t>Total</t>
  </si>
  <si>
    <t>If the benefit structure is too complicated to be expressed this simply,</t>
  </si>
  <si>
    <t>Be sure to document whatever changes you make.</t>
  </si>
  <si>
    <t>manipulate the payout column in One ret age or the eligibility column in One person</t>
  </si>
  <si>
    <t>50 years of service is as far as the tables go</t>
  </si>
  <si>
    <t>PUCAL</t>
  </si>
  <si>
    <t>PUCNC</t>
  </si>
  <si>
    <t>Retirees</t>
  </si>
  <si>
    <t>Post-Ret Mort</t>
  </si>
  <si>
    <t>Payouts</t>
  </si>
  <si>
    <t>Calculation for checking PVB</t>
  </si>
  <si>
    <t>Expected Payouts</t>
  </si>
  <si>
    <t>Discount</t>
  </si>
  <si>
    <t>PV</t>
  </si>
  <si>
    <t>NPV method</t>
  </si>
  <si>
    <t>Add up PV's</t>
  </si>
  <si>
    <t>VBA method</t>
  </si>
  <si>
    <t>check</t>
  </si>
  <si>
    <t>Year</t>
  </si>
  <si>
    <t>I have written a VBA Macro to calculate expected values for all quantities below for each fixed retirement age</t>
  </si>
  <si>
    <t>Payout check</t>
  </si>
  <si>
    <t>PV of payments</t>
  </si>
  <si>
    <t>PV payouts</t>
  </si>
  <si>
    <t>For PUC, we assume attribution from hire age to eligibility age.</t>
  </si>
  <si>
    <t>We assume people start to collect benefits in the year after the retirement date</t>
  </si>
  <si>
    <t>Eligibility Age</t>
  </si>
  <si>
    <t>Salary Factor</t>
  </si>
  <si>
    <t>PVEAB</t>
  </si>
  <si>
    <t>PVFSAA</t>
  </si>
  <si>
    <t>PVFSEA</t>
  </si>
  <si>
    <t>Actuarial Accrued Liability</t>
  </si>
  <si>
    <t>Future service</t>
  </si>
  <si>
    <t>Present Value of Benefits</t>
  </si>
  <si>
    <t>Normal Cost</t>
  </si>
  <si>
    <t>Interest Cost</t>
  </si>
  <si>
    <t>Year 1</t>
  </si>
  <si>
    <t>Valuation Results</t>
  </si>
  <si>
    <t>Warning: The process takes about a minute or two.</t>
  </si>
  <si>
    <t>One ret age - Shows the calculation that would be done for a single person at a single assumed retirement age. Inputs are from the census, assumptions, and decrement tables; outputs are highlighted in yellow</t>
  </si>
  <si>
    <t>One person - Shows the calculation that would be done for a single person. Inputs are from the census, assumptions, and decrement tables; outputs are highlighted in yellow</t>
  </si>
  <si>
    <t>AMMSet - the census used for this valuation (the sample census used for the Alternative Measurement Method specified in GASB 75)</t>
  </si>
  <si>
    <t>Output sheets:</t>
  </si>
  <si>
    <t>Payouts - total expected payouts projected forward</t>
  </si>
  <si>
    <t>Present Values - present value of future benefits as well as actuarial accrued liability and normal cost in both EAN and PUC</t>
  </si>
  <si>
    <t>Totals - the summary of all valuation results.  This is what would go into a report.</t>
  </si>
  <si>
    <t>The idea behind this spreadsheet is that a person inputs assumptions and a census, and only needs to click a button in Totals to get values for a report.</t>
  </si>
  <si>
    <t>Present Value at Entry Age of Benefits</t>
  </si>
  <si>
    <t>Present Value of Future Salaries at Attained Age</t>
  </si>
  <si>
    <t>Present Value of Future Salaries at Entry Age</t>
  </si>
  <si>
    <t>Factor</t>
  </si>
  <si>
    <t>Calculation for EANAL and EANC</t>
  </si>
  <si>
    <t>Expect to see the screen rapidly switch between worksheets at this time.</t>
  </si>
  <si>
    <t>The other sheets remain visible so anyone who is so inclined can examine the construction of this spreadsheet.</t>
  </si>
  <si>
    <t>VBA Code:</t>
  </si>
  <si>
    <t>Sub Individual()</t>
  </si>
  <si>
    <t>' This is to get a person's PVB and other quantities for every retirement age</t>
  </si>
  <si>
    <t>Dim Val As Workbook</t>
  </si>
  <si>
    <t>Set Val = ThisWorkbook</t>
  </si>
  <si>
    <t>Set Pre = Val.Sheets("One person")</t>
  </si>
  <si>
    <t>Dim Age As Byte</t>
  </si>
  <si>
    <t>Dim CurAge As Byte</t>
  </si>
  <si>
    <t>Dim MaxRet As Byte</t>
  </si>
  <si>
    <t>CurAge = Val.Sheets("One ret age").Range("C7").Value</t>
  </si>
  <si>
    <t>MaxRet = CurAge + 50 ' Withdrawal and retirement tables only go up to 50 years of service; it is assumed that anyone with that much service will retire this year.</t>
  </si>
  <si>
    <t>' We want to put PVB, PUCNC, and payouts in the same row as the corresponding retirement age.</t>
  </si>
  <si>
    <t>If Val.Sheets("One ret age").Range("C5").Text = "Active" Then</t>
  </si>
  <si>
    <t xml:space="preserve">    For Age = CurAge To MaxRet ' For actives, we look at all possible future retirement ages</t>
  </si>
  <si>
    <t xml:space="preserve">        Val.Sheets("One ret age").Range("C10").Value = Age + 1 ' Set assumed retirement age to calculate numbers</t>
  </si>
  <si>
    <t xml:space="preserve">        '+1 is because we assume benefits start the beginning of the year after retirement</t>
  </si>
  <si>
    <t xml:space="preserve">        Pre.Cells(Age - CurAge + 13, 11).Value = Val.Sheets("One ret age").Range("G4").Value ' Present Value of Benefits assuning a specific retirement age</t>
  </si>
  <si>
    <t xml:space="preserve">        Pre.Cells(Age - CurAge + 13, 12).Value = Val.Sheets("One ret age").Range("G6").Value ' PUC Accrued Liability assuning a specific retirement age</t>
  </si>
  <si>
    <t xml:space="preserve">        Val.Sheets("One ret age").Range("F14:F113").Copy ' A stream of benefit payments assuming a specific retirement age</t>
  </si>
  <si>
    <t xml:space="preserve">        Pre.Cells(Age - CurAge + 13, Age - CurAge + 15).Value = 0 '0 is because we assume benefits start the beginning of the year after retirement</t>
  </si>
  <si>
    <t xml:space="preserve">        Pre.Cells(Age - CurAge + 13, Age - CurAge + 16).PasteSpecial Paste:=xlPasteValues, Operation:=xlNone, SkipBlanks:=False, Transpose:=True 'Paste the column into a row</t>
  </si>
  <si>
    <t xml:space="preserve">        Pre.Range("DK13:FH63").Clear ' Cuts the pasting off at column DJ</t>
  </si>
  <si>
    <t xml:space="preserve">    Next Age</t>
  </si>
  <si>
    <t>Else</t>
  </si>
  <si>
    <t xml:space="preserve">    Val.Sheets("One ret age").Range("C10").Value = CurAge ' Treat as if just retired</t>
  </si>
  <si>
    <t xml:space="preserve">    Pre.Cells(13, 11).Value = Val.Sheets("One ret age").Range("G4").Value ' Present Value of Benefits</t>
  </si>
  <si>
    <t xml:space="preserve">    Pre.Cells(13, 12).Value = 0 ' Normal Cost is 0 for retirees</t>
  </si>
  <si>
    <t xml:space="preserve">    Val.Sheets("One ret age").Range("F14:F113").Copy ' The stream of expected benefit payments</t>
  </si>
  <si>
    <t xml:space="preserve">    Pre.Cells(13, 15).PasteSpecial Paste:=xlPasteValues, Operation:=xlNone, SkipBlanks:=False, Transpose:=True ' Paste column into row</t>
  </si>
  <si>
    <t xml:space="preserve">    Pre.Range("K14:DJ63").Clear ' Delete results of previous calculation if the previous person was active</t>
  </si>
  <si>
    <t>End If</t>
  </si>
  <si>
    <t>End Sub</t>
  </si>
  <si>
    <t>Sub Total()</t>
  </si>
  <si>
    <t>' This is how we add up all individual results to get totals for the report</t>
  </si>
  <si>
    <t>Set PVs = Val.Sheets("Present Values")</t>
  </si>
  <si>
    <t>Set Pay = Val.Sheets("Payouts")</t>
  </si>
  <si>
    <t>Set Census = Val.Sheets("AMMset")</t>
  </si>
  <si>
    <t>Dim Pop As Range</t>
  </si>
  <si>
    <t>Set Pop = Census.Range("A:A")</t>
  </si>
  <si>
    <t>PopCount = WorksheetFunction.Count(Pop)</t>
  </si>
  <si>
    <t>Dim Member As Integer</t>
  </si>
  <si>
    <t>For Member = 1 To PopCount</t>
  </si>
  <si>
    <t xml:space="preserve">    Val.Sheets("One ret age").Range("C4").Value = Member</t>
  </si>
  <si>
    <t xml:space="preserve">    Call Individual</t>
  </si>
  <si>
    <t xml:space="preserve">    'Pasting individual results into separate rows, one after the other</t>
  </si>
  <si>
    <t xml:space="preserve">    PVs.Cells(Member + 4, 1).Value = Member</t>
  </si>
  <si>
    <t xml:space="preserve">    PVs.Cells(Member + 4, 2).Value = Pre.Range("K10").Value</t>
  </si>
  <si>
    <t xml:space="preserve">    PVs.Cells(Member + 4, 3).Value = Pre.Range("K6").Value</t>
  </si>
  <si>
    <t xml:space="preserve">    PVs.Cells(Member + 4, 4).Value = Pre.Range("L6").Value</t>
  </si>
  <si>
    <t xml:space="preserve">    PVs.Cells(Member + 4, 5).Value = Pre.Range("K7").Value</t>
  </si>
  <si>
    <t xml:space="preserve">    PVs.Cells(Member + 4, 6).Value = Pre.Range("L10").Value</t>
  </si>
  <si>
    <t xml:space="preserve">    Pay.Cells(Member + 4, 1).Value = Member</t>
  </si>
  <si>
    <t xml:space="preserve">    Pre.Range("O10:DJ10").Copy</t>
  </si>
  <si>
    <t xml:space="preserve">    Pay.Cells(Member + 4, 2).PasteSpecial Paste:=xlPasteValues, Operation:=xlNone, SkipBlanks:=False</t>
  </si>
  <si>
    <t>Next Member</t>
  </si>
  <si>
    <t>Attributed</t>
  </si>
  <si>
    <t>Benefits</t>
  </si>
  <si>
    <t>PUCAL check</t>
  </si>
  <si>
    <t>If you have an Excel file with the client's census, paste it to the right and use formulas to calculate the values to the left</t>
  </si>
  <si>
    <t>Keep the member numbers in ascending order from 1 so the VBA code can work properly</t>
  </si>
  <si>
    <t>' Counting population</t>
  </si>
  <si>
    <t>' Looping over all members in the population</t>
  </si>
  <si>
    <t xml:space="preserve">    ' copying and pasting row in which Excel formulas calculate attributed benefits</t>
  </si>
  <si>
    <t>Then I calculate overall expected values in the highlighted cells</t>
  </si>
  <si>
    <t>Note: This only works if the benefit is the same regardless of time of retirement</t>
  </si>
  <si>
    <t>FWL</t>
  </si>
  <si>
    <t>AFWL</t>
  </si>
  <si>
    <t>Counts</t>
  </si>
  <si>
    <t>Average FWL</t>
  </si>
  <si>
    <t>Sensitivity Analysis</t>
  </si>
  <si>
    <t>Discount Rate +1%</t>
  </si>
  <si>
    <t>Discount Rate -1%</t>
  </si>
  <si>
    <t>Discount for sensitivity analysis</t>
  </si>
  <si>
    <t>+1%</t>
  </si>
  <si>
    <t>-1%</t>
  </si>
  <si>
    <t>Factors for sensitivity analysis</t>
  </si>
  <si>
    <t>No change</t>
  </si>
  <si>
    <t>Disc +1%</t>
  </si>
  <si>
    <t>Disc -1%</t>
  </si>
  <si>
    <t>PUCNC sensitivity (discount rate)</t>
  </si>
  <si>
    <t>PVB sensitivity (discount rate)</t>
  </si>
  <si>
    <t>EANC sensitivity (discount rate)</t>
  </si>
  <si>
    <t>EANAL sensitivity (discount rate)</t>
  </si>
  <si>
    <t>Range("A1").Select</t>
  </si>
  <si>
    <t>Set EAN = Val.Sheets("EAN calculation")</t>
  </si>
  <si>
    <t xml:space="preserve">    PVs.Cells(Member + 4, 7).Value = Pre.Range("I9").Value</t>
  </si>
  <si>
    <t xml:space="preserve">    Pay.Range("DD5:HH5").Copy Pay.Cells(Member + 4, 108)</t>
  </si>
  <si>
    <t xml:space="preserve">    ' sensitivity analysis for EAN results</t>
  </si>
  <si>
    <t xml:space="preserve">    Pay.Cells(Member + 4, 218).Value = EAN.Range("K8").Value</t>
  </si>
  <si>
    <t xml:space="preserve">    Pay.Cells(Member + 4, 219).Value = EAN.Range("L8").Value</t>
  </si>
  <si>
    <t xml:space="preserve">    Pay.Cells(Member + 4, 221).Value = EAN.Range("K7").Value</t>
  </si>
  <si>
    <t xml:space="preserve">    Pay.Cells(Member + 4, 222).Value = EAN.Range("L7").Value</t>
  </si>
  <si>
    <t>Change in Liability</t>
  </si>
  <si>
    <t>Change in Normal Cost</t>
  </si>
  <si>
    <t>PVB vs Payouts</t>
  </si>
  <si>
    <t>Difference</t>
  </si>
  <si>
    <t>VBA vs No VBA</t>
  </si>
  <si>
    <t>Since all these quantities are so close, it follows that the payouts check out as well.</t>
  </si>
  <si>
    <t>Results with no VBA from OPEB_Valuation.xlsx</t>
  </si>
  <si>
    <t>If the plan is more complicated, then some of the other sheets will need to be modified to accommodate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</si>
</sst>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5">
    <xf numFmtId="0" fontId="0" fillId="0" borderId="0" xfId="0"/>
    <xf numFmtId="10" fontId="0" fillId="0" borderId="0" xfId="0" applyNumberFormat="1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4" fontId="0" fillId="0" borderId="0" xfId="0" applyNumberFormat="1"/>
    <xf numFmtId="164" fontId="0" fillId="0" borderId="0" xfId="1" applyNumberFormat="1" applyFont="1"/>
    <xf numFmtId="165" fontId="3" fillId="0" borderId="0" xfId="0" applyNumberFormat="1" applyFont="1"/>
    <xf numFmtId="164" fontId="0" fillId="0" borderId="0" xfId="0" applyNumberFormat="1" applyBorder="1"/>
    <xf numFmtId="0" fontId="3" fillId="0" borderId="0" xfId="0" applyFont="1"/>
    <xf numFmtId="10" fontId="3" fillId="0" borderId="0" xfId="0" applyNumberFormat="1" applyFont="1"/>
    <xf numFmtId="0" fontId="4" fillId="0" borderId="0" xfId="0" applyFont="1"/>
    <xf numFmtId="7" fontId="0" fillId="0" borderId="0" xfId="0" applyNumberFormat="1"/>
    <xf numFmtId="0" fontId="0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2" borderId="0" xfId="0" applyNumberFormat="1" applyFill="1"/>
    <xf numFmtId="7" fontId="0" fillId="2" borderId="0" xfId="0" applyNumberFormat="1" applyFill="1"/>
    <xf numFmtId="0" fontId="3" fillId="3" borderId="0" xfId="0" applyFont="1" applyFill="1"/>
    <xf numFmtId="164" fontId="0" fillId="2" borderId="0" xfId="0" applyNumberFormat="1" applyFill="1" applyBorder="1"/>
    <xf numFmtId="164" fontId="0" fillId="0" borderId="0" xfId="0" applyNumberFormat="1" applyAlignment="1">
      <alignment horizontal="right"/>
    </xf>
    <xf numFmtId="164" fontId="7" fillId="0" borderId="0" xfId="0" applyNumberFormat="1" applyFont="1" applyAlignment="1">
      <alignment horizontal="right"/>
    </xf>
    <xf numFmtId="0" fontId="0" fillId="0" borderId="0" xfId="0" applyBorder="1"/>
    <xf numFmtId="2" fontId="0" fillId="2" borderId="0" xfId="0" applyNumberFormat="1" applyFill="1"/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" fontId="7" fillId="0" borderId="0" xfId="0" applyNumberFormat="1" applyFont="1" applyAlignment="1">
      <alignment horizontal="right"/>
    </xf>
    <xf numFmtId="0" fontId="0" fillId="0" borderId="0" xfId="0" quotePrefix="1"/>
    <xf numFmtId="7" fontId="0" fillId="0" borderId="0" xfId="0" applyNumberFormat="1" applyAlignment="1">
      <alignment horizontal="right"/>
    </xf>
    <xf numFmtId="0" fontId="0" fillId="2" borderId="0" xfId="0" applyFill="1"/>
    <xf numFmtId="164" fontId="1" fillId="0" borderId="0" xfId="0" applyNumberFormat="1" applyFont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0" fillId="0" borderId="0" xfId="0" applyFill="1"/>
    <xf numFmtId="0" fontId="1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2</xdr:row>
          <xdr:rowOff>180975</xdr:rowOff>
        </xdr:from>
        <xdr:to>
          <xdr:col>7</xdr:col>
          <xdr:colOff>152400</xdr:colOff>
          <xdr:row>5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171450</xdr:rowOff>
        </xdr:from>
        <xdr:to>
          <xdr:col>6</xdr:col>
          <xdr:colOff>590550</xdr:colOff>
          <xdr:row>7</xdr:row>
          <xdr:rowOff>123825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8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 for One Person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571B-2AA5-4ABF-8A3C-E95E1BF0CC43}">
  <sheetPr codeName="Sheet1"/>
  <dimension ref="B2:B92"/>
  <sheetViews>
    <sheetView workbookViewId="0"/>
  </sheetViews>
  <sheetFormatPr defaultRowHeight="15" x14ac:dyDescent="0.25"/>
  <cols>
    <col min="1" max="1" width="3.7109375" customWidth="1"/>
  </cols>
  <sheetData>
    <row r="2" spans="2:2" x14ac:dyDescent="0.25">
      <c r="B2" t="s">
        <v>106</v>
      </c>
    </row>
    <row r="3" spans="2:2" x14ac:dyDescent="0.25">
      <c r="B3" t="s">
        <v>213</v>
      </c>
    </row>
    <row r="4" spans="2:2" x14ac:dyDescent="0.25">
      <c r="B4" t="s">
        <v>113</v>
      </c>
    </row>
    <row r="6" spans="2:2" x14ac:dyDescent="0.25">
      <c r="B6" t="s">
        <v>37</v>
      </c>
    </row>
    <row r="7" spans="2:2" x14ac:dyDescent="0.25">
      <c r="B7" t="s">
        <v>101</v>
      </c>
    </row>
    <row r="8" spans="2:2" x14ac:dyDescent="0.25">
      <c r="B8" t="s">
        <v>32</v>
      </c>
    </row>
    <row r="9" spans="2:2" x14ac:dyDescent="0.25">
      <c r="B9" t="s">
        <v>33</v>
      </c>
    </row>
    <row r="10" spans="2:2" x14ac:dyDescent="0.25">
      <c r="B10" t="s">
        <v>34</v>
      </c>
    </row>
    <row r="12" spans="2:2" x14ac:dyDescent="0.25">
      <c r="B12" t="s">
        <v>36</v>
      </c>
    </row>
    <row r="13" spans="2:2" x14ac:dyDescent="0.25">
      <c r="B13" t="s">
        <v>35</v>
      </c>
    </row>
    <row r="14" spans="2:2" x14ac:dyDescent="0.25">
      <c r="B14" t="s">
        <v>100</v>
      </c>
    </row>
    <row r="15" spans="2:2" x14ac:dyDescent="0.25">
      <c r="B15" t="s">
        <v>99</v>
      </c>
    </row>
    <row r="17" spans="2:2" x14ac:dyDescent="0.25">
      <c r="B17" t="s">
        <v>102</v>
      </c>
    </row>
    <row r="18" spans="2:2" x14ac:dyDescent="0.25">
      <c r="B18" t="s">
        <v>103</v>
      </c>
    </row>
    <row r="19" spans="2:2" x14ac:dyDescent="0.25">
      <c r="B19" t="s">
        <v>104</v>
      </c>
    </row>
    <row r="20" spans="2:2" x14ac:dyDescent="0.25">
      <c r="B20" t="s">
        <v>105</v>
      </c>
    </row>
    <row r="22" spans="2:2" x14ac:dyDescent="0.25">
      <c r="B22" t="s">
        <v>114</v>
      </c>
    </row>
    <row r="23" spans="2:2" x14ac:dyDescent="0.25">
      <c r="B23" t="s">
        <v>115</v>
      </c>
    </row>
    <row r="24" spans="2:2" x14ac:dyDescent="0.25">
      <c r="B24" t="s">
        <v>116</v>
      </c>
    </row>
    <row r="25" spans="2:2" x14ac:dyDescent="0.25">
      <c r="B25" t="s">
        <v>117</v>
      </c>
    </row>
    <row r="26" spans="2:2" x14ac:dyDescent="0.25">
      <c r="B26" t="s">
        <v>118</v>
      </c>
    </row>
    <row r="27" spans="2:2" x14ac:dyDescent="0.25">
      <c r="B27" t="s">
        <v>119</v>
      </c>
    </row>
    <row r="28" spans="2:2" x14ac:dyDescent="0.25">
      <c r="B28" t="s">
        <v>120</v>
      </c>
    </row>
    <row r="29" spans="2:2" x14ac:dyDescent="0.25">
      <c r="B29" t="s">
        <v>121</v>
      </c>
    </row>
    <row r="30" spans="2:2" x14ac:dyDescent="0.25">
      <c r="B30" t="s">
        <v>122</v>
      </c>
    </row>
    <row r="31" spans="2:2" x14ac:dyDescent="0.25">
      <c r="B31" t="s">
        <v>123</v>
      </c>
    </row>
    <row r="32" spans="2:2" x14ac:dyDescent="0.25">
      <c r="B32" t="s">
        <v>124</v>
      </c>
    </row>
    <row r="33" spans="2:2" x14ac:dyDescent="0.25">
      <c r="B33" t="s">
        <v>125</v>
      </c>
    </row>
    <row r="34" spans="2:2" x14ac:dyDescent="0.25">
      <c r="B34" t="s">
        <v>126</v>
      </c>
    </row>
    <row r="35" spans="2:2" x14ac:dyDescent="0.25">
      <c r="B35" t="s">
        <v>127</v>
      </c>
    </row>
    <row r="36" spans="2:2" x14ac:dyDescent="0.25">
      <c r="B36" t="s">
        <v>128</v>
      </c>
    </row>
    <row r="37" spans="2:2" x14ac:dyDescent="0.25">
      <c r="B37" t="s">
        <v>129</v>
      </c>
    </row>
    <row r="38" spans="2:2" x14ac:dyDescent="0.25">
      <c r="B38" t="s">
        <v>130</v>
      </c>
    </row>
    <row r="39" spans="2:2" x14ac:dyDescent="0.25">
      <c r="B39" t="s">
        <v>131</v>
      </c>
    </row>
    <row r="40" spans="2:2" x14ac:dyDescent="0.25">
      <c r="B40" t="s">
        <v>132</v>
      </c>
    </row>
    <row r="41" spans="2:2" x14ac:dyDescent="0.25">
      <c r="B41" t="s">
        <v>133</v>
      </c>
    </row>
    <row r="42" spans="2:2" x14ac:dyDescent="0.25">
      <c r="B42" t="s">
        <v>134</v>
      </c>
    </row>
    <row r="43" spans="2:2" x14ac:dyDescent="0.25">
      <c r="B43" t="s">
        <v>135</v>
      </c>
    </row>
    <row r="44" spans="2:2" x14ac:dyDescent="0.25">
      <c r="B44" t="s">
        <v>136</v>
      </c>
    </row>
    <row r="45" spans="2:2" x14ac:dyDescent="0.25">
      <c r="B45" t="s">
        <v>137</v>
      </c>
    </row>
    <row r="46" spans="2:2" x14ac:dyDescent="0.25">
      <c r="B46" t="s">
        <v>138</v>
      </c>
    </row>
    <row r="47" spans="2:2" x14ac:dyDescent="0.25">
      <c r="B47" t="s">
        <v>139</v>
      </c>
    </row>
    <row r="48" spans="2:2" x14ac:dyDescent="0.25">
      <c r="B48" t="s">
        <v>140</v>
      </c>
    </row>
    <row r="49" spans="2:2" x14ac:dyDescent="0.25">
      <c r="B49" t="s">
        <v>141</v>
      </c>
    </row>
    <row r="50" spans="2:2" x14ac:dyDescent="0.25">
      <c r="B50" t="s">
        <v>142</v>
      </c>
    </row>
    <row r="51" spans="2:2" x14ac:dyDescent="0.25">
      <c r="B51" t="s">
        <v>143</v>
      </c>
    </row>
    <row r="52" spans="2:2" x14ac:dyDescent="0.25">
      <c r="B52" t="s">
        <v>144</v>
      </c>
    </row>
    <row r="53" spans="2:2" x14ac:dyDescent="0.25">
      <c r="B53" t="s">
        <v>197</v>
      </c>
    </row>
    <row r="54" spans="2:2" x14ac:dyDescent="0.25">
      <c r="B54" t="s">
        <v>145</v>
      </c>
    </row>
    <row r="55" spans="2:2" x14ac:dyDescent="0.25">
      <c r="B55" t="s">
        <v>146</v>
      </c>
    </row>
    <row r="56" spans="2:2" x14ac:dyDescent="0.25">
      <c r="B56" t="s">
        <v>147</v>
      </c>
    </row>
    <row r="57" spans="2:2" x14ac:dyDescent="0.25">
      <c r="B57" t="s">
        <v>117</v>
      </c>
    </row>
    <row r="58" spans="2:2" x14ac:dyDescent="0.25">
      <c r="B58" t="s">
        <v>118</v>
      </c>
    </row>
    <row r="59" spans="2:2" x14ac:dyDescent="0.25">
      <c r="B59" t="s">
        <v>148</v>
      </c>
    </row>
    <row r="60" spans="2:2" x14ac:dyDescent="0.25">
      <c r="B60" t="s">
        <v>149</v>
      </c>
    </row>
    <row r="61" spans="2:2" x14ac:dyDescent="0.25">
      <c r="B61" t="s">
        <v>150</v>
      </c>
    </row>
    <row r="62" spans="2:2" x14ac:dyDescent="0.25">
      <c r="B62" t="s">
        <v>119</v>
      </c>
    </row>
    <row r="63" spans="2:2" x14ac:dyDescent="0.25">
      <c r="B63" t="s">
        <v>198</v>
      </c>
    </row>
    <row r="64" spans="2:2" x14ac:dyDescent="0.25">
      <c r="B64" t="s">
        <v>174</v>
      </c>
    </row>
    <row r="65" spans="2:2" x14ac:dyDescent="0.25">
      <c r="B65" t="s">
        <v>151</v>
      </c>
    </row>
    <row r="66" spans="2:2" x14ac:dyDescent="0.25">
      <c r="B66" t="s">
        <v>152</v>
      </c>
    </row>
    <row r="67" spans="2:2" x14ac:dyDescent="0.25">
      <c r="B67" t="s">
        <v>153</v>
      </c>
    </row>
    <row r="68" spans="2:2" x14ac:dyDescent="0.25">
      <c r="B68" t="s">
        <v>154</v>
      </c>
    </row>
    <row r="69" spans="2:2" x14ac:dyDescent="0.25">
      <c r="B69" t="s">
        <v>175</v>
      </c>
    </row>
    <row r="70" spans="2:2" x14ac:dyDescent="0.25">
      <c r="B70" t="s">
        <v>155</v>
      </c>
    </row>
    <row r="71" spans="2:2" x14ac:dyDescent="0.25">
      <c r="B71" t="s">
        <v>156</v>
      </c>
    </row>
    <row r="72" spans="2:2" x14ac:dyDescent="0.25">
      <c r="B72" t="s">
        <v>157</v>
      </c>
    </row>
    <row r="73" spans="2:2" x14ac:dyDescent="0.25">
      <c r="B73" t="s">
        <v>158</v>
      </c>
    </row>
    <row r="74" spans="2:2" x14ac:dyDescent="0.25">
      <c r="B74" t="s">
        <v>159</v>
      </c>
    </row>
    <row r="75" spans="2:2" x14ac:dyDescent="0.25">
      <c r="B75" t="s">
        <v>160</v>
      </c>
    </row>
    <row r="76" spans="2:2" x14ac:dyDescent="0.25">
      <c r="B76" t="s">
        <v>161</v>
      </c>
    </row>
    <row r="77" spans="2:2" x14ac:dyDescent="0.25">
      <c r="B77" t="s">
        <v>162</v>
      </c>
    </row>
    <row r="78" spans="2:2" x14ac:dyDescent="0.25">
      <c r="B78" t="s">
        <v>163</v>
      </c>
    </row>
    <row r="79" spans="2:2" x14ac:dyDescent="0.25">
      <c r="B79" t="s">
        <v>164</v>
      </c>
    </row>
    <row r="80" spans="2:2" x14ac:dyDescent="0.25">
      <c r="B80" t="s">
        <v>199</v>
      </c>
    </row>
    <row r="81" spans="2:2" x14ac:dyDescent="0.25">
      <c r="B81" t="s">
        <v>165</v>
      </c>
    </row>
    <row r="82" spans="2:2" x14ac:dyDescent="0.25">
      <c r="B82" t="s">
        <v>166</v>
      </c>
    </row>
    <row r="83" spans="2:2" x14ac:dyDescent="0.25">
      <c r="B83" t="s">
        <v>167</v>
      </c>
    </row>
    <row r="84" spans="2:2" x14ac:dyDescent="0.25">
      <c r="B84" t="s">
        <v>176</v>
      </c>
    </row>
    <row r="85" spans="2:2" x14ac:dyDescent="0.25">
      <c r="B85" t="s">
        <v>200</v>
      </c>
    </row>
    <row r="86" spans="2:2" x14ac:dyDescent="0.25">
      <c r="B86" t="s">
        <v>201</v>
      </c>
    </row>
    <row r="87" spans="2:2" x14ac:dyDescent="0.25">
      <c r="B87" t="s">
        <v>202</v>
      </c>
    </row>
    <row r="88" spans="2:2" x14ac:dyDescent="0.25">
      <c r="B88" t="s">
        <v>203</v>
      </c>
    </row>
    <row r="89" spans="2:2" x14ac:dyDescent="0.25">
      <c r="B89" t="s">
        <v>204</v>
      </c>
    </row>
    <row r="90" spans="2:2" x14ac:dyDescent="0.25">
      <c r="B90" t="s">
        <v>205</v>
      </c>
    </row>
    <row r="91" spans="2:2" x14ac:dyDescent="0.25">
      <c r="B91" t="s">
        <v>168</v>
      </c>
    </row>
    <row r="92" spans="2:2" x14ac:dyDescent="0.25">
      <c r="B92" t="s">
        <v>145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D7FA-0724-4B26-A348-BA736275BAAB}">
  <sheetPr codeName="Sheet4"/>
  <dimension ref="B3:E16"/>
  <sheetViews>
    <sheetView workbookViewId="0"/>
  </sheetViews>
  <sheetFormatPr defaultRowHeight="15" x14ac:dyDescent="0.25"/>
  <cols>
    <col min="3" max="3" width="6.140625" bestFit="1" customWidth="1"/>
  </cols>
  <sheetData>
    <row r="3" spans="2:5" x14ac:dyDescent="0.25">
      <c r="B3" s="2" t="s">
        <v>0</v>
      </c>
      <c r="C3" s="9">
        <v>2019</v>
      </c>
      <c r="E3" t="s">
        <v>62</v>
      </c>
    </row>
    <row r="4" spans="2:5" x14ac:dyDescent="0.25">
      <c r="B4" s="2" t="s">
        <v>1</v>
      </c>
      <c r="C4" s="9">
        <v>50</v>
      </c>
      <c r="E4" t="s">
        <v>64</v>
      </c>
    </row>
    <row r="5" spans="2:5" x14ac:dyDescent="0.25">
      <c r="B5" s="2" t="s">
        <v>2</v>
      </c>
      <c r="C5" s="9">
        <v>5</v>
      </c>
    </row>
    <row r="6" spans="2:5" x14ac:dyDescent="0.25">
      <c r="B6" s="2" t="s">
        <v>16</v>
      </c>
      <c r="C6" s="9">
        <v>10190</v>
      </c>
      <c r="E6" t="s">
        <v>63</v>
      </c>
    </row>
    <row r="7" spans="2:5" x14ac:dyDescent="0.25">
      <c r="B7" s="2" t="s">
        <v>17</v>
      </c>
      <c r="C7" s="9">
        <v>4197</v>
      </c>
    </row>
    <row r="8" spans="2:5" x14ac:dyDescent="0.25">
      <c r="B8" s="2" t="s">
        <v>18</v>
      </c>
      <c r="C8" s="10">
        <v>5.5E-2</v>
      </c>
    </row>
    <row r="9" spans="2:5" x14ac:dyDescent="0.25">
      <c r="B9" s="2" t="s">
        <v>19</v>
      </c>
      <c r="C9" s="10">
        <v>3.7999999999999999E-2</v>
      </c>
    </row>
    <row r="10" spans="2:5" x14ac:dyDescent="0.25">
      <c r="B10" s="2" t="s">
        <v>23</v>
      </c>
      <c r="C10" s="10">
        <v>3.2500000000000001E-2</v>
      </c>
    </row>
    <row r="11" spans="2:5" x14ac:dyDescent="0.25">
      <c r="B11" s="2" t="s">
        <v>59</v>
      </c>
      <c r="C11" s="1">
        <f>(1+C9)/(1+C10)-1</f>
        <v>5.3268765133172025E-3</v>
      </c>
    </row>
    <row r="13" spans="2:5" x14ac:dyDescent="0.25">
      <c r="B13" s="2" t="s">
        <v>85</v>
      </c>
    </row>
    <row r="14" spans="2:5" x14ac:dyDescent="0.25">
      <c r="B14" s="2" t="s">
        <v>30</v>
      </c>
    </row>
    <row r="15" spans="2:5" x14ac:dyDescent="0.25">
      <c r="B15" s="2" t="s">
        <v>31</v>
      </c>
    </row>
    <row r="16" spans="2:5" x14ac:dyDescent="0.25">
      <c r="B16" s="2" t="s">
        <v>84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FBFB-1F5E-48B9-B7BA-7E7A01FD1073}">
  <sheetPr codeName="Sheet5"/>
  <dimension ref="A1:G18"/>
  <sheetViews>
    <sheetView zoomScale="115" zoomScaleNormal="115" workbookViewId="0"/>
  </sheetViews>
  <sheetFormatPr defaultRowHeight="15" x14ac:dyDescent="0.25"/>
  <sheetData>
    <row r="1" spans="1:7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</row>
    <row r="2" spans="1:7" x14ac:dyDescent="0.25">
      <c r="A2">
        <v>1</v>
      </c>
      <c r="B2" t="s">
        <v>8</v>
      </c>
      <c r="C2">
        <v>46</v>
      </c>
      <c r="D2">
        <v>10</v>
      </c>
      <c r="E2" t="s">
        <v>9</v>
      </c>
      <c r="G2" t="s">
        <v>172</v>
      </c>
    </row>
    <row r="3" spans="1:7" x14ac:dyDescent="0.25">
      <c r="A3">
        <v>2</v>
      </c>
      <c r="B3" t="s">
        <v>8</v>
      </c>
      <c r="C3">
        <v>28</v>
      </c>
      <c r="D3">
        <v>3</v>
      </c>
      <c r="E3" t="s">
        <v>10</v>
      </c>
    </row>
    <row r="4" spans="1:7" x14ac:dyDescent="0.25">
      <c r="A4">
        <v>3</v>
      </c>
      <c r="B4" t="s">
        <v>8</v>
      </c>
      <c r="C4">
        <v>40</v>
      </c>
      <c r="D4">
        <v>6</v>
      </c>
      <c r="E4" t="s">
        <v>10</v>
      </c>
      <c r="G4" t="s">
        <v>173</v>
      </c>
    </row>
    <row r="5" spans="1:7" x14ac:dyDescent="0.25">
      <c r="A5">
        <v>4</v>
      </c>
      <c r="B5" t="s">
        <v>8</v>
      </c>
      <c r="C5">
        <v>34</v>
      </c>
      <c r="D5">
        <v>1</v>
      </c>
      <c r="E5" t="s">
        <v>9</v>
      </c>
    </row>
    <row r="6" spans="1:7" x14ac:dyDescent="0.25">
      <c r="A6">
        <v>5</v>
      </c>
      <c r="B6" t="s">
        <v>8</v>
      </c>
      <c r="C6">
        <v>58</v>
      </c>
      <c r="D6">
        <v>25</v>
      </c>
      <c r="E6" t="s">
        <v>9</v>
      </c>
    </row>
    <row r="7" spans="1:7" x14ac:dyDescent="0.25">
      <c r="A7">
        <v>6</v>
      </c>
      <c r="B7" t="s">
        <v>8</v>
      </c>
      <c r="C7">
        <v>52</v>
      </c>
      <c r="D7">
        <v>12</v>
      </c>
      <c r="E7" t="s">
        <v>9</v>
      </c>
    </row>
    <row r="8" spans="1:7" x14ac:dyDescent="0.25">
      <c r="A8">
        <v>7</v>
      </c>
      <c r="B8" t="s">
        <v>8</v>
      </c>
      <c r="C8">
        <v>40</v>
      </c>
      <c r="D8">
        <v>8</v>
      </c>
      <c r="E8" t="s">
        <v>9</v>
      </c>
    </row>
    <row r="9" spans="1:7" x14ac:dyDescent="0.25">
      <c r="A9">
        <v>8</v>
      </c>
      <c r="B9" t="s">
        <v>8</v>
      </c>
      <c r="C9">
        <v>33</v>
      </c>
      <c r="D9">
        <v>2</v>
      </c>
      <c r="E9" t="s">
        <v>9</v>
      </c>
    </row>
    <row r="10" spans="1:7" x14ac:dyDescent="0.25">
      <c r="A10">
        <v>9</v>
      </c>
      <c r="B10" t="s">
        <v>8</v>
      </c>
      <c r="C10">
        <v>36</v>
      </c>
      <c r="D10">
        <v>13</v>
      </c>
      <c r="E10" t="s">
        <v>10</v>
      </c>
    </row>
    <row r="11" spans="1:7" x14ac:dyDescent="0.25">
      <c r="A11">
        <v>10</v>
      </c>
      <c r="B11" t="s">
        <v>8</v>
      </c>
      <c r="C11">
        <v>30</v>
      </c>
      <c r="D11">
        <v>4</v>
      </c>
      <c r="E11" t="s">
        <v>10</v>
      </c>
    </row>
    <row r="12" spans="1:7" x14ac:dyDescent="0.25">
      <c r="A12">
        <v>11</v>
      </c>
      <c r="B12" t="s">
        <v>8</v>
      </c>
      <c r="C12">
        <v>25</v>
      </c>
      <c r="D12">
        <v>2</v>
      </c>
      <c r="E12" t="s">
        <v>10</v>
      </c>
    </row>
    <row r="13" spans="1:7" x14ac:dyDescent="0.25">
      <c r="A13">
        <v>12</v>
      </c>
      <c r="B13" t="s">
        <v>8</v>
      </c>
      <c r="C13">
        <v>22</v>
      </c>
      <c r="D13">
        <v>1</v>
      </c>
      <c r="E13" t="s">
        <v>9</v>
      </c>
    </row>
    <row r="14" spans="1:7" x14ac:dyDescent="0.25">
      <c r="A14">
        <v>13</v>
      </c>
      <c r="B14" t="s">
        <v>11</v>
      </c>
      <c r="C14">
        <v>60</v>
      </c>
      <c r="E14" t="s">
        <v>10</v>
      </c>
    </row>
    <row r="15" spans="1:7" x14ac:dyDescent="0.25">
      <c r="A15">
        <v>14</v>
      </c>
      <c r="B15" t="s">
        <v>11</v>
      </c>
      <c r="C15">
        <v>68</v>
      </c>
      <c r="E15" t="s">
        <v>9</v>
      </c>
    </row>
    <row r="16" spans="1:7" x14ac:dyDescent="0.25">
      <c r="A16">
        <v>15</v>
      </c>
      <c r="B16" t="s">
        <v>11</v>
      </c>
      <c r="C16">
        <v>75</v>
      </c>
      <c r="E16" t="s">
        <v>9</v>
      </c>
    </row>
    <row r="17" spans="1:5" x14ac:dyDescent="0.25">
      <c r="A17">
        <v>16</v>
      </c>
      <c r="B17" t="s">
        <v>11</v>
      </c>
      <c r="C17">
        <v>71</v>
      </c>
      <c r="E17" t="s">
        <v>10</v>
      </c>
    </row>
    <row r="18" spans="1:5" x14ac:dyDescent="0.25">
      <c r="A18">
        <v>17</v>
      </c>
      <c r="B18" t="s">
        <v>11</v>
      </c>
      <c r="C18">
        <v>64</v>
      </c>
      <c r="E18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C5FC7-47A7-4D13-AFFE-C0113986131D}">
  <sheetPr codeName="Sheet13"/>
  <dimension ref="B2:F133"/>
  <sheetViews>
    <sheetView tabSelected="1" workbookViewId="0"/>
  </sheetViews>
  <sheetFormatPr defaultRowHeight="15" x14ac:dyDescent="0.25"/>
  <cols>
    <col min="2" max="2" width="24.28515625" style="15" bestFit="1" customWidth="1"/>
    <col min="3" max="3" width="15.28515625" style="20" customWidth="1"/>
    <col min="4" max="4" width="15.28515625" style="14" customWidth="1"/>
  </cols>
  <sheetData>
    <row r="2" spans="2:6" x14ac:dyDescent="0.25">
      <c r="B2" s="15" t="s">
        <v>97</v>
      </c>
    </row>
    <row r="3" spans="2:6" x14ac:dyDescent="0.25">
      <c r="C3" s="30" t="s">
        <v>24</v>
      </c>
      <c r="D3" s="15" t="s">
        <v>25</v>
      </c>
    </row>
    <row r="4" spans="2:6" x14ac:dyDescent="0.25">
      <c r="B4" s="15" t="s">
        <v>91</v>
      </c>
    </row>
    <row r="5" spans="2:6" x14ac:dyDescent="0.25">
      <c r="B5" s="15" t="s">
        <v>20</v>
      </c>
      <c r="C5" s="20">
        <f ca="1">C7-C6</f>
        <v>391618.72000000009</v>
      </c>
      <c r="D5" s="20">
        <f ca="1">D7-D6</f>
        <v>645148.62000000011</v>
      </c>
    </row>
    <row r="6" spans="2:6" x14ac:dyDescent="0.25">
      <c r="B6" s="15" t="s">
        <v>68</v>
      </c>
      <c r="C6" s="21">
        <f ca="1">C24</f>
        <v>561285.48</v>
      </c>
      <c r="D6" s="21">
        <f ca="1">C6</f>
        <v>561285.48</v>
      </c>
    </row>
    <row r="7" spans="2:6" x14ac:dyDescent="0.25">
      <c r="B7" s="15" t="s">
        <v>61</v>
      </c>
      <c r="C7" s="20">
        <f>'Present Values'!C2</f>
        <v>952904.20000000007</v>
      </c>
      <c r="D7" s="20">
        <f>'Present Values'!D2</f>
        <v>1206434.1000000001</v>
      </c>
    </row>
    <row r="8" spans="2:6" x14ac:dyDescent="0.25">
      <c r="F8" t="s">
        <v>98</v>
      </c>
    </row>
    <row r="9" spans="2:6" x14ac:dyDescent="0.25">
      <c r="B9" s="15" t="s">
        <v>92</v>
      </c>
      <c r="C9" s="20">
        <f ca="1">$C23-C5</f>
        <v>972770.4</v>
      </c>
      <c r="D9" s="20">
        <f ca="1">$C23-D5</f>
        <v>719240.5</v>
      </c>
      <c r="F9" t="s">
        <v>112</v>
      </c>
    </row>
    <row r="11" spans="2:6" x14ac:dyDescent="0.25">
      <c r="B11" s="15" t="s">
        <v>94</v>
      </c>
      <c r="C11" s="20">
        <f>'Present Values'!E2</f>
        <v>75064.12000000001</v>
      </c>
      <c r="D11" s="20">
        <f>'Present Values'!F2</f>
        <v>54646.11</v>
      </c>
    </row>
    <row r="12" spans="2:6" x14ac:dyDescent="0.25">
      <c r="B12" s="15" t="s">
        <v>95</v>
      </c>
      <c r="C12" s="20">
        <f>C7 * Assumptions!$C$9 - $C$35 * ((1 + Assumptions!$C$9)^2 - 1)</f>
        <v>33656.953476000002</v>
      </c>
      <c r="D12" s="20">
        <f>D7 * Assumptions!$C$9 - $C$35 * ((1 + Assumptions!$C$9)^2 - 1)</f>
        <v>43291.089676000003</v>
      </c>
    </row>
    <row r="14" spans="2:6" x14ac:dyDescent="0.25">
      <c r="C14" s="34" t="s">
        <v>183</v>
      </c>
      <c r="D14" s="34"/>
    </row>
    <row r="15" spans="2:6" x14ac:dyDescent="0.25">
      <c r="C15" s="34" t="s">
        <v>184</v>
      </c>
      <c r="D15" s="34"/>
    </row>
    <row r="16" spans="2:6" x14ac:dyDescent="0.25">
      <c r="B16" s="15" t="s">
        <v>206</v>
      </c>
      <c r="C16" s="20">
        <f>Payouts!HM2-C7</f>
        <v>-163034.25000000012</v>
      </c>
      <c r="D16" s="20">
        <f>NPV(Assumptions!$C$9+0.01,$D$35:$D$133)*(1.01+Assumptions!$C$9)-D7</f>
        <v>-211143.50999762304</v>
      </c>
    </row>
    <row r="17" spans="2:4" x14ac:dyDescent="0.25">
      <c r="B17" s="15" t="s">
        <v>207</v>
      </c>
      <c r="C17" s="20">
        <f>Payouts!HJ2-C11</f>
        <v>-15743.250000000015</v>
      </c>
      <c r="D17" s="20">
        <f>Payouts!HG2-D11</f>
        <v>-16351.040312881683</v>
      </c>
    </row>
    <row r="18" spans="2:4" x14ac:dyDescent="0.25">
      <c r="C18" s="34" t="s">
        <v>185</v>
      </c>
      <c r="D18" s="34"/>
    </row>
    <row r="19" spans="2:4" x14ac:dyDescent="0.25">
      <c r="B19" s="15" t="s">
        <v>206</v>
      </c>
      <c r="C19" s="20">
        <f>Payouts!HN2-C7</f>
        <v>225036.71999999986</v>
      </c>
      <c r="D19" s="20">
        <f>NPV(Assumptions!$C$9-0.01,$D$35:$D$133)*(0.99+Assumptions!$C$9)-D7</f>
        <v>286312.29877131386</v>
      </c>
    </row>
    <row r="20" spans="2:4" x14ac:dyDescent="0.25">
      <c r="B20" s="15" t="s">
        <v>207</v>
      </c>
      <c r="C20" s="20">
        <f>Payouts!HK2-C11</f>
        <v>21104.58</v>
      </c>
      <c r="D20" s="28">
        <f>Payouts!HH2-D11</f>
        <v>24801.695421083743</v>
      </c>
    </row>
    <row r="22" spans="2:4" x14ac:dyDescent="0.25">
      <c r="C22" s="31" t="s">
        <v>93</v>
      </c>
    </row>
    <row r="23" spans="2:4" x14ac:dyDescent="0.25">
      <c r="B23" s="15" t="s">
        <v>20</v>
      </c>
      <c r="C23" s="20">
        <f ca="1">C25-C24</f>
        <v>1364389.12</v>
      </c>
    </row>
    <row r="24" spans="2:4" x14ac:dyDescent="0.25">
      <c r="B24" s="15" t="s">
        <v>68</v>
      </c>
      <c r="C24" s="21">
        <f ca="1">SUMIF(AMMset!B2:B1048576, "Retired", 'Present Values'!B5:B1048576)</f>
        <v>561285.48</v>
      </c>
    </row>
    <row r="25" spans="2:4" x14ac:dyDescent="0.25">
      <c r="B25" s="15" t="s">
        <v>61</v>
      </c>
      <c r="C25" s="20">
        <f>'Present Values'!B2</f>
        <v>1925674.6</v>
      </c>
    </row>
    <row r="27" spans="2:4" x14ac:dyDescent="0.25">
      <c r="C27" s="15" t="s">
        <v>181</v>
      </c>
    </row>
    <row r="28" spans="2:4" x14ac:dyDescent="0.25">
      <c r="B28" s="15" t="s">
        <v>20</v>
      </c>
      <c r="C28" s="25">
        <f>C30-C29</f>
        <v>12</v>
      </c>
    </row>
    <row r="29" spans="2:4" x14ac:dyDescent="0.25">
      <c r="B29" s="15" t="s">
        <v>68</v>
      </c>
      <c r="C29" s="26">
        <f>COUNTIF(AMMset!B:B,"Retired")</f>
        <v>5</v>
      </c>
    </row>
    <row r="30" spans="2:4" x14ac:dyDescent="0.25">
      <c r="B30" s="15" t="s">
        <v>61</v>
      </c>
      <c r="C30" s="25">
        <f>COUNT(AMMset!A:A)</f>
        <v>17</v>
      </c>
    </row>
    <row r="31" spans="2:4" x14ac:dyDescent="0.25">
      <c r="C31" s="25"/>
    </row>
    <row r="32" spans="2:4" x14ac:dyDescent="0.25">
      <c r="B32" s="15" t="s">
        <v>182</v>
      </c>
      <c r="C32" s="24">
        <f>'Present Values'!G2</f>
        <v>16.925261937574</v>
      </c>
    </row>
    <row r="34" spans="2:4" x14ac:dyDescent="0.25">
      <c r="B34" s="15" t="s">
        <v>70</v>
      </c>
      <c r="C34" s="30" t="s">
        <v>61</v>
      </c>
      <c r="D34" s="15" t="s">
        <v>169</v>
      </c>
    </row>
    <row r="35" spans="2:4" x14ac:dyDescent="0.25">
      <c r="B35" s="15" t="s">
        <v>96</v>
      </c>
      <c r="C35" s="20">
        <f>HLOOKUP(VALUE(RIGHT(B35,2))+Assumptions!$C$3-1,Payouts!$B$1:$CW$2,2)</f>
        <v>32971</v>
      </c>
      <c r="D35" s="20">
        <f>HLOOKUP(VALUE(RIGHT(B35,2))+Assumptions!$C$3-1,Payouts!$DD$1:$GY$2,2)</f>
        <v>32971</v>
      </c>
    </row>
    <row r="36" spans="2:4" x14ac:dyDescent="0.25">
      <c r="B36" s="15" t="str">
        <f>"Year "&amp;VALUE(RIGHT(B35, 2)) + 1</f>
        <v>Year 2</v>
      </c>
      <c r="C36" s="20">
        <f>HLOOKUP(VALUE(RIGHT(B36,2))+Assumptions!$C$3-1,Payouts!$B$1:$CW$2,2)</f>
        <v>28950.37</v>
      </c>
      <c r="D36" s="20">
        <f>HLOOKUP(VALUE(RIGHT(B36,2))+Assumptions!$C$3-1,Payouts!$DD$1:$GY$2,2)</f>
        <v>28950.37</v>
      </c>
    </row>
    <row r="37" spans="2:4" x14ac:dyDescent="0.25">
      <c r="B37" s="15" t="str">
        <f t="shared" ref="B37:B100" si="0">"Year "&amp;VALUE(RIGHT(B36, 2)) + 1</f>
        <v>Year 3</v>
      </c>
      <c r="C37" s="20">
        <f>HLOOKUP(VALUE(RIGHT(B37,2))+Assumptions!$C$3-1,Payouts!$B$1:$CW$2,2)</f>
        <v>31130.28</v>
      </c>
      <c r="D37" s="20">
        <f>HLOOKUP(VALUE(RIGHT(B37,2))+Assumptions!$C$3-1,Payouts!$DD$1:$GY$2,2)</f>
        <v>31130.28</v>
      </c>
    </row>
    <row r="38" spans="2:4" x14ac:dyDescent="0.25">
      <c r="B38" s="15" t="str">
        <f t="shared" si="0"/>
        <v>Year 4</v>
      </c>
      <c r="C38" s="20">
        <f>HLOOKUP(VALUE(RIGHT(B38,2))+Assumptions!$C$3-1,Payouts!$B$1:$CW$2,2)</f>
        <v>34006.219999999994</v>
      </c>
      <c r="D38" s="20">
        <f>HLOOKUP(VALUE(RIGHT(B38,2))+Assumptions!$C$3-1,Payouts!$DD$1:$GY$2,2)</f>
        <v>34006.219999999994</v>
      </c>
    </row>
    <row r="39" spans="2:4" x14ac:dyDescent="0.25">
      <c r="B39" s="15" t="str">
        <f t="shared" si="0"/>
        <v>Year 5</v>
      </c>
      <c r="C39" s="20">
        <f>HLOOKUP(VALUE(RIGHT(B39,2))+Assumptions!$C$3-1,Payouts!$B$1:$CW$2,2)</f>
        <v>37386.299999999996</v>
      </c>
      <c r="D39" s="20">
        <f>HLOOKUP(VALUE(RIGHT(B39,2))+Assumptions!$C$3-1,Payouts!$DD$1:$GY$2,2)</f>
        <v>37386.299999999996</v>
      </c>
    </row>
    <row r="40" spans="2:4" x14ac:dyDescent="0.25">
      <c r="B40" s="15" t="str">
        <f t="shared" si="0"/>
        <v>Year 6</v>
      </c>
      <c r="C40" s="20">
        <f>HLOOKUP(VALUE(RIGHT(B40,2))+Assumptions!$C$3-1,Payouts!$B$1:$CW$2,2)</f>
        <v>34139.47</v>
      </c>
      <c r="D40" s="20">
        <f>HLOOKUP(VALUE(RIGHT(B40,2))+Assumptions!$C$3-1,Payouts!$DD$1:$GY$2,2)</f>
        <v>34090.51</v>
      </c>
    </row>
    <row r="41" spans="2:4" x14ac:dyDescent="0.25">
      <c r="B41" s="15" t="str">
        <f t="shared" si="0"/>
        <v>Year 7</v>
      </c>
      <c r="C41" s="20">
        <f>HLOOKUP(VALUE(RIGHT(B41,2))+Assumptions!$C$3-1,Payouts!$B$1:$CW$2,2)</f>
        <v>38034.239999999998</v>
      </c>
      <c r="D41" s="20">
        <f>HLOOKUP(VALUE(RIGHT(B41,2))+Assumptions!$C$3-1,Payouts!$DD$1:$GY$2,2)</f>
        <v>37935.440000000002</v>
      </c>
    </row>
    <row r="42" spans="2:4" x14ac:dyDescent="0.25">
      <c r="B42" s="15" t="str">
        <f t="shared" si="0"/>
        <v>Year 8</v>
      </c>
      <c r="C42" s="20">
        <f>HLOOKUP(VALUE(RIGHT(B42,2))+Assumptions!$C$3-1,Payouts!$B$1:$CW$2,2)</f>
        <v>35220.57</v>
      </c>
      <c r="D42" s="20">
        <f>HLOOKUP(VALUE(RIGHT(B42,2))+Assumptions!$C$3-1,Payouts!$DD$1:$GY$2,2)</f>
        <v>35053.590000000004</v>
      </c>
    </row>
    <row r="43" spans="2:4" x14ac:dyDescent="0.25">
      <c r="B43" s="15" t="str">
        <f t="shared" si="0"/>
        <v>Year 9</v>
      </c>
      <c r="C43" s="20">
        <f>HLOOKUP(VALUE(RIGHT(B43,2))+Assumptions!$C$3-1,Payouts!$B$1:$CW$2,2)</f>
        <v>37953.379999999997</v>
      </c>
      <c r="D43" s="20">
        <f>HLOOKUP(VALUE(RIGHT(B43,2))+Assumptions!$C$3-1,Payouts!$DD$1:$GY$2,2)</f>
        <v>37720.01</v>
      </c>
    </row>
    <row r="44" spans="2:4" x14ac:dyDescent="0.25">
      <c r="B44" s="15" t="str">
        <f t="shared" si="0"/>
        <v>Year 10</v>
      </c>
      <c r="C44" s="20">
        <f>HLOOKUP(VALUE(RIGHT(B44,2))+Assumptions!$C$3-1,Payouts!$B$1:$CW$2,2)</f>
        <v>41115.340000000004</v>
      </c>
      <c r="D44" s="20">
        <f>HLOOKUP(VALUE(RIGHT(B44,2))+Assumptions!$C$3-1,Payouts!$DD$1:$GY$2,2)</f>
        <v>40780.130000000005</v>
      </c>
    </row>
    <row r="45" spans="2:4" x14ac:dyDescent="0.25">
      <c r="B45" s="15" t="str">
        <f t="shared" si="0"/>
        <v>Year 11</v>
      </c>
      <c r="C45" s="20">
        <f>HLOOKUP(VALUE(RIGHT(B45,2))+Assumptions!$C$3-1,Payouts!$B$1:$CW$2,2)</f>
        <v>44804.36</v>
      </c>
      <c r="D45" s="20">
        <f>HLOOKUP(VALUE(RIGHT(B45,2))+Assumptions!$C$3-1,Payouts!$DD$1:$GY$2,2)</f>
        <v>44301.869999999995</v>
      </c>
    </row>
    <row r="46" spans="2:4" x14ac:dyDescent="0.25">
      <c r="B46" s="15" t="str">
        <f t="shared" si="0"/>
        <v>Year 12</v>
      </c>
      <c r="C46" s="20">
        <f>HLOOKUP(VALUE(RIGHT(B46,2))+Assumptions!$C$3-1,Payouts!$B$1:$CW$2,2)</f>
        <v>49642.1</v>
      </c>
      <c r="D46" s="20">
        <f>HLOOKUP(VALUE(RIGHT(B46,2))+Assumptions!$C$3-1,Payouts!$DD$1:$GY$2,2)</f>
        <v>48755.310000000005</v>
      </c>
    </row>
    <row r="47" spans="2:4" x14ac:dyDescent="0.25">
      <c r="B47" s="15" t="str">
        <f t="shared" si="0"/>
        <v>Year 13</v>
      </c>
      <c r="C47" s="20">
        <f>HLOOKUP(VALUE(RIGHT(B47,2))+Assumptions!$C$3-1,Payouts!$B$1:$CW$2,2)</f>
        <v>54351.829999999994</v>
      </c>
      <c r="D47" s="20">
        <f>HLOOKUP(VALUE(RIGHT(B47,2))+Assumptions!$C$3-1,Payouts!$DD$1:$GY$2,2)</f>
        <v>53021.919999999998</v>
      </c>
    </row>
    <row r="48" spans="2:4" x14ac:dyDescent="0.25">
      <c r="B48" s="15" t="str">
        <f t="shared" si="0"/>
        <v>Year 14</v>
      </c>
      <c r="C48" s="20">
        <f>HLOOKUP(VALUE(RIGHT(B48,2))+Assumptions!$C$3-1,Payouts!$B$1:$CW$2,2)</f>
        <v>50294.630000000005</v>
      </c>
      <c r="D48" s="20">
        <f>HLOOKUP(VALUE(RIGHT(B48,2))+Assumptions!$C$3-1,Payouts!$DD$1:$GY$2,2)</f>
        <v>48398.489999999991</v>
      </c>
    </row>
    <row r="49" spans="2:4" x14ac:dyDescent="0.25">
      <c r="B49" s="15" t="str">
        <f t="shared" si="0"/>
        <v>Year 15</v>
      </c>
      <c r="C49" s="20">
        <f>HLOOKUP(VALUE(RIGHT(B49,2))+Assumptions!$C$3-1,Payouts!$B$1:$CW$2,2)</f>
        <v>53605.450000000004</v>
      </c>
      <c r="D49" s="20">
        <f>HLOOKUP(VALUE(RIGHT(B49,2))+Assumptions!$C$3-1,Payouts!$DD$1:$GY$2,2)</f>
        <v>51089.89</v>
      </c>
    </row>
    <row r="50" spans="2:4" x14ac:dyDescent="0.25">
      <c r="B50" s="15" t="str">
        <f t="shared" si="0"/>
        <v>Year 16</v>
      </c>
      <c r="C50" s="20">
        <f>HLOOKUP(VALUE(RIGHT(B50,2))+Assumptions!$C$3-1,Payouts!$B$1:$CW$2,2)</f>
        <v>57744.279999999992</v>
      </c>
      <c r="D50" s="20">
        <f>HLOOKUP(VALUE(RIGHT(B50,2))+Assumptions!$C$3-1,Payouts!$DD$1:$GY$2,2)</f>
        <v>54096.259999999995</v>
      </c>
    </row>
    <row r="51" spans="2:4" x14ac:dyDescent="0.25">
      <c r="B51" s="15" t="str">
        <f t="shared" si="0"/>
        <v>Year 17</v>
      </c>
      <c r="C51" s="20">
        <f>HLOOKUP(VALUE(RIGHT(B51,2))+Assumptions!$C$3-1,Payouts!$B$1:$CW$2,2)</f>
        <v>62648.310000000012</v>
      </c>
      <c r="D51" s="20">
        <f>HLOOKUP(VALUE(RIGHT(B51,2))+Assumptions!$C$3-1,Payouts!$DD$1:$GY$2,2)</f>
        <v>57451.130000000005</v>
      </c>
    </row>
    <row r="52" spans="2:4" x14ac:dyDescent="0.25">
      <c r="B52" s="15" t="str">
        <f t="shared" si="0"/>
        <v>Year 18</v>
      </c>
      <c r="C52" s="20">
        <f>HLOOKUP(VALUE(RIGHT(B52,2))+Assumptions!$C$3-1,Payouts!$B$1:$CW$2,2)</f>
        <v>68469.100000000006</v>
      </c>
      <c r="D52" s="20">
        <f>HLOOKUP(VALUE(RIGHT(B52,2))+Assumptions!$C$3-1,Payouts!$DD$1:$GY$2,2)</f>
        <v>61281.74</v>
      </c>
    </row>
    <row r="53" spans="2:4" x14ac:dyDescent="0.25">
      <c r="B53" s="15" t="str">
        <f t="shared" si="0"/>
        <v>Year 19</v>
      </c>
      <c r="C53" s="20">
        <f>HLOOKUP(VALUE(RIGHT(B53,2))+Assumptions!$C$3-1,Payouts!$B$1:$CW$2,2)</f>
        <v>74410.98000000001</v>
      </c>
      <c r="D53" s="20">
        <f>HLOOKUP(VALUE(RIGHT(B53,2))+Assumptions!$C$3-1,Payouts!$DD$1:$GY$2,2)</f>
        <v>64919.85</v>
      </c>
    </row>
    <row r="54" spans="2:4" x14ac:dyDescent="0.25">
      <c r="B54" s="15" t="str">
        <f t="shared" si="0"/>
        <v>Year 20</v>
      </c>
      <c r="C54" s="20">
        <f>HLOOKUP(VALUE(RIGHT(B54,2))+Assumptions!$C$3-1,Payouts!$B$1:$CW$2,2)</f>
        <v>69585.819999999992</v>
      </c>
      <c r="D54" s="20">
        <f>HLOOKUP(VALUE(RIGHT(B54,2))+Assumptions!$C$3-1,Payouts!$DD$1:$GY$2,2)</f>
        <v>60616.83</v>
      </c>
    </row>
    <row r="55" spans="2:4" x14ac:dyDescent="0.25">
      <c r="B55" s="15" t="str">
        <f t="shared" si="0"/>
        <v>Year 21</v>
      </c>
      <c r="C55" s="20">
        <f>HLOOKUP(VALUE(RIGHT(B55,2))+Assumptions!$C$3-1,Payouts!$B$1:$CW$2,2)</f>
        <v>74544.100000000006</v>
      </c>
      <c r="D55" s="20">
        <f>HLOOKUP(VALUE(RIGHT(B55,2))+Assumptions!$C$3-1,Payouts!$DD$1:$GY$2,2)</f>
        <v>62958.05</v>
      </c>
    </row>
    <row r="56" spans="2:4" x14ac:dyDescent="0.25">
      <c r="B56" s="15" t="str">
        <f t="shared" si="0"/>
        <v>Year 22</v>
      </c>
      <c r="C56" s="20">
        <f>HLOOKUP(VALUE(RIGHT(B56,2))+Assumptions!$C$3-1,Payouts!$B$1:$CW$2,2)</f>
        <v>80711.509999999995</v>
      </c>
      <c r="D56" s="20">
        <f>HLOOKUP(VALUE(RIGHT(B56,2))+Assumptions!$C$3-1,Payouts!$DD$1:$GY$2,2)</f>
        <v>65465.600000000006</v>
      </c>
    </row>
    <row r="57" spans="2:4" x14ac:dyDescent="0.25">
      <c r="B57" s="15" t="str">
        <f t="shared" si="0"/>
        <v>Year 23</v>
      </c>
      <c r="C57" s="20">
        <f>HLOOKUP(VALUE(RIGHT(B57,2))+Assumptions!$C$3-1,Payouts!$B$1:$CW$2,2)</f>
        <v>88156.6</v>
      </c>
      <c r="D57" s="20">
        <f>HLOOKUP(VALUE(RIGHT(B57,2))+Assumptions!$C$3-1,Payouts!$DD$1:$GY$2,2)</f>
        <v>68266.490000000005</v>
      </c>
    </row>
    <row r="58" spans="2:4" x14ac:dyDescent="0.25">
      <c r="B58" s="15" t="str">
        <f t="shared" si="0"/>
        <v>Year 24</v>
      </c>
      <c r="C58" s="20">
        <f>HLOOKUP(VALUE(RIGHT(B58,2))+Assumptions!$C$3-1,Payouts!$B$1:$CW$2,2)</f>
        <v>98222.57</v>
      </c>
      <c r="D58" s="20">
        <f>HLOOKUP(VALUE(RIGHT(B58,2))+Assumptions!$C$3-1,Payouts!$DD$1:$GY$2,2)</f>
        <v>71845.11</v>
      </c>
    </row>
    <row r="59" spans="2:4" x14ac:dyDescent="0.25">
      <c r="B59" s="15" t="str">
        <f t="shared" si="0"/>
        <v>Year 25</v>
      </c>
      <c r="C59" s="20">
        <f>HLOOKUP(VALUE(RIGHT(B59,2))+Assumptions!$C$3-1,Payouts!$B$1:$CW$2,2)</f>
        <v>107795.79000000001</v>
      </c>
      <c r="D59" s="20">
        <f>HLOOKUP(VALUE(RIGHT(B59,2))+Assumptions!$C$3-1,Payouts!$DD$1:$GY$2,2)</f>
        <v>75133.389999999985</v>
      </c>
    </row>
    <row r="60" spans="2:4" x14ac:dyDescent="0.25">
      <c r="B60" s="15" t="str">
        <f t="shared" si="0"/>
        <v>Year 26</v>
      </c>
      <c r="C60" s="20">
        <f>HLOOKUP(VALUE(RIGHT(B60,2))+Assumptions!$C$3-1,Payouts!$B$1:$CW$2,2)</f>
        <v>94521.949999999983</v>
      </c>
      <c r="D60" s="20">
        <f>HLOOKUP(VALUE(RIGHT(B60,2))+Assumptions!$C$3-1,Payouts!$DD$1:$GY$2,2)</f>
        <v>68717.22</v>
      </c>
    </row>
    <row r="61" spans="2:4" x14ac:dyDescent="0.25">
      <c r="B61" s="15" t="str">
        <f t="shared" si="0"/>
        <v>Year 27</v>
      </c>
      <c r="C61" s="20">
        <f>HLOOKUP(VALUE(RIGHT(B61,2))+Assumptions!$C$3-1,Payouts!$B$1:$CW$2,2)</f>
        <v>102066.67000000001</v>
      </c>
      <c r="D61" s="20">
        <f>HLOOKUP(VALUE(RIGHT(B61,2))+Assumptions!$C$3-1,Payouts!$DD$1:$GY$2,2)</f>
        <v>70512.010000000009</v>
      </c>
    </row>
    <row r="62" spans="2:4" x14ac:dyDescent="0.25">
      <c r="B62" s="15" t="str">
        <f t="shared" si="0"/>
        <v>Year 28</v>
      </c>
      <c r="C62" s="20">
        <f>HLOOKUP(VALUE(RIGHT(B62,2))+Assumptions!$C$3-1,Payouts!$B$1:$CW$2,2)</f>
        <v>110916.98</v>
      </c>
      <c r="D62" s="20">
        <f>HLOOKUP(VALUE(RIGHT(B62,2))+Assumptions!$C$3-1,Payouts!$DD$1:$GY$2,2)</f>
        <v>72517.819999999992</v>
      </c>
    </row>
    <row r="63" spans="2:4" x14ac:dyDescent="0.25">
      <c r="B63" s="15" t="str">
        <f t="shared" si="0"/>
        <v>Year 29</v>
      </c>
      <c r="C63" s="20">
        <f>HLOOKUP(VALUE(RIGHT(B63,2))+Assumptions!$C$3-1,Payouts!$B$1:$CW$2,2)</f>
        <v>120446.95000000001</v>
      </c>
      <c r="D63" s="20">
        <f>HLOOKUP(VALUE(RIGHT(B63,2))+Assumptions!$C$3-1,Payouts!$DD$1:$GY$2,2)</f>
        <v>74162.479999999981</v>
      </c>
    </row>
    <row r="64" spans="2:4" x14ac:dyDescent="0.25">
      <c r="B64" s="15" t="str">
        <f t="shared" si="0"/>
        <v>Year 30</v>
      </c>
      <c r="C64" s="20">
        <f>HLOOKUP(VALUE(RIGHT(B64,2))+Assumptions!$C$3-1,Payouts!$B$1:$CW$2,2)</f>
        <v>115825.09</v>
      </c>
      <c r="D64" s="20">
        <f>HLOOKUP(VALUE(RIGHT(B64,2))+Assumptions!$C$3-1,Payouts!$DD$1:$GY$2,2)</f>
        <v>68306.98</v>
      </c>
    </row>
    <row r="65" spans="2:4" x14ac:dyDescent="0.25">
      <c r="B65" s="15" t="str">
        <f t="shared" si="0"/>
        <v>Year 31</v>
      </c>
      <c r="C65" s="20">
        <f>HLOOKUP(VALUE(RIGHT(B65,2))+Assumptions!$C$3-1,Payouts!$B$1:$CW$2,2)</f>
        <v>125154.58000000002</v>
      </c>
      <c r="D65" s="20">
        <f>HLOOKUP(VALUE(RIGHT(B65,2))+Assumptions!$C$3-1,Payouts!$DD$1:$GY$2,2)</f>
        <v>68630.73</v>
      </c>
    </row>
    <row r="66" spans="2:4" x14ac:dyDescent="0.25">
      <c r="B66" s="15" t="str">
        <f t="shared" si="0"/>
        <v>Year 32</v>
      </c>
      <c r="C66" s="20">
        <f>HLOOKUP(VALUE(RIGHT(B66,2))+Assumptions!$C$3-1,Payouts!$B$1:$CW$2,2)</f>
        <v>125669.91999999998</v>
      </c>
      <c r="D66" s="20">
        <f>HLOOKUP(VALUE(RIGHT(B66,2))+Assumptions!$C$3-1,Payouts!$DD$1:$GY$2,2)</f>
        <v>68119.819999999992</v>
      </c>
    </row>
    <row r="67" spans="2:4" x14ac:dyDescent="0.25">
      <c r="B67" s="15" t="str">
        <f t="shared" si="0"/>
        <v>Year 33</v>
      </c>
      <c r="C67" s="20">
        <f>HLOOKUP(VALUE(RIGHT(B67,2))+Assumptions!$C$3-1,Payouts!$B$1:$CW$2,2)</f>
        <v>123797.47</v>
      </c>
      <c r="D67" s="20">
        <f>HLOOKUP(VALUE(RIGHT(B67,2))+Assumptions!$C$3-1,Payouts!$DD$1:$GY$2,2)</f>
        <v>66866.069999999992</v>
      </c>
    </row>
    <row r="68" spans="2:4" x14ac:dyDescent="0.25">
      <c r="B68" s="15" t="str">
        <f t="shared" si="0"/>
        <v>Year 34</v>
      </c>
      <c r="C68" s="20">
        <f>HLOOKUP(VALUE(RIGHT(B68,2))+Assumptions!$C$3-1,Payouts!$B$1:$CW$2,2)</f>
        <v>132027</v>
      </c>
      <c r="D68" s="20">
        <f>HLOOKUP(VALUE(RIGHT(B68,2))+Assumptions!$C$3-1,Payouts!$DD$1:$GY$2,2)</f>
        <v>66556.02</v>
      </c>
    </row>
    <row r="69" spans="2:4" x14ac:dyDescent="0.25">
      <c r="B69" s="15" t="str">
        <f t="shared" si="0"/>
        <v>Year 35</v>
      </c>
      <c r="C69" s="20">
        <f>HLOOKUP(VALUE(RIGHT(B69,2))+Assumptions!$C$3-1,Payouts!$B$1:$CW$2,2)</f>
        <v>139967.27999999997</v>
      </c>
      <c r="D69" s="20">
        <f>HLOOKUP(VALUE(RIGHT(B69,2))+Assumptions!$C$3-1,Payouts!$DD$1:$GY$2,2)</f>
        <v>66013.16</v>
      </c>
    </row>
    <row r="70" spans="2:4" x14ac:dyDescent="0.25">
      <c r="B70" s="15" t="str">
        <f t="shared" si="0"/>
        <v>Year 36</v>
      </c>
      <c r="C70" s="20">
        <f>HLOOKUP(VALUE(RIGHT(B70,2))+Assumptions!$C$3-1,Payouts!$B$1:$CW$2,2)</f>
        <v>136361.63999999998</v>
      </c>
      <c r="D70" s="20">
        <f>HLOOKUP(VALUE(RIGHT(B70,2))+Assumptions!$C$3-1,Payouts!$DD$1:$GY$2,2)</f>
        <v>63407.05000000001</v>
      </c>
    </row>
    <row r="71" spans="2:4" x14ac:dyDescent="0.25">
      <c r="B71" s="15" t="str">
        <f t="shared" si="0"/>
        <v>Year 37</v>
      </c>
      <c r="C71" s="20">
        <f>HLOOKUP(VALUE(RIGHT(B71,2))+Assumptions!$C$3-1,Payouts!$B$1:$CW$2,2)</f>
        <v>143318.78000000003</v>
      </c>
      <c r="D71" s="20">
        <f>HLOOKUP(VALUE(RIGHT(B71,2))+Assumptions!$C$3-1,Payouts!$DD$1:$GY$2,2)</f>
        <v>62433.19</v>
      </c>
    </row>
    <row r="72" spans="2:4" x14ac:dyDescent="0.25">
      <c r="B72" s="15" t="str">
        <f t="shared" si="0"/>
        <v>Year 38</v>
      </c>
      <c r="C72" s="20">
        <f>HLOOKUP(VALUE(RIGHT(B72,2))+Assumptions!$C$3-1,Payouts!$B$1:$CW$2,2)</f>
        <v>138276.33000000002</v>
      </c>
      <c r="D72" s="20">
        <f>HLOOKUP(VALUE(RIGHT(B72,2))+Assumptions!$C$3-1,Payouts!$DD$1:$GY$2,2)</f>
        <v>59850.259999999995</v>
      </c>
    </row>
    <row r="73" spans="2:4" x14ac:dyDescent="0.25">
      <c r="B73" s="15" t="str">
        <f t="shared" si="0"/>
        <v>Year 39</v>
      </c>
      <c r="C73" s="20">
        <f>HLOOKUP(VALUE(RIGHT(B73,2))+Assumptions!$C$3-1,Payouts!$B$1:$CW$2,2)</f>
        <v>144099.34000000003</v>
      </c>
      <c r="D73" s="20">
        <f>HLOOKUP(VALUE(RIGHT(B73,2))+Assumptions!$C$3-1,Payouts!$DD$1:$GY$2,2)</f>
        <v>58482.26</v>
      </c>
    </row>
    <row r="74" spans="2:4" x14ac:dyDescent="0.25">
      <c r="B74" s="15" t="str">
        <f t="shared" si="0"/>
        <v>Year 40</v>
      </c>
      <c r="C74" s="20">
        <f>HLOOKUP(VALUE(RIGHT(B74,2))+Assumptions!$C$3-1,Payouts!$B$1:$CW$2,2)</f>
        <v>149373.08999999997</v>
      </c>
      <c r="D74" s="20">
        <f>HLOOKUP(VALUE(RIGHT(B74,2))+Assumptions!$C$3-1,Payouts!$DD$1:$GY$2,2)</f>
        <v>56964.68</v>
      </c>
    </row>
    <row r="75" spans="2:4" x14ac:dyDescent="0.25">
      <c r="B75" s="15" t="str">
        <f t="shared" si="0"/>
        <v>Year 41</v>
      </c>
      <c r="C75" s="20">
        <f>HLOOKUP(VALUE(RIGHT(B75,2))+Assumptions!$C$3-1,Payouts!$B$1:$CW$2,2)</f>
        <v>143915.85999999996</v>
      </c>
      <c r="D75" s="20">
        <f>HLOOKUP(VALUE(RIGHT(B75,2))+Assumptions!$C$3-1,Payouts!$DD$1:$GY$2,2)</f>
        <v>54630.19</v>
      </c>
    </row>
    <row r="76" spans="2:4" x14ac:dyDescent="0.25">
      <c r="B76" s="15" t="str">
        <f t="shared" si="0"/>
        <v>Year 42</v>
      </c>
      <c r="C76" s="20">
        <f>HLOOKUP(VALUE(RIGHT(B76,2))+Assumptions!$C$3-1,Payouts!$B$1:$CW$2,2)</f>
        <v>148101.16</v>
      </c>
      <c r="D76" s="20">
        <f>HLOOKUP(VALUE(RIGHT(B76,2))+Assumptions!$C$3-1,Payouts!$DD$1:$GY$2,2)</f>
        <v>52990.18</v>
      </c>
    </row>
    <row r="77" spans="2:4" x14ac:dyDescent="0.25">
      <c r="B77" s="15" t="str">
        <f t="shared" si="0"/>
        <v>Year 43</v>
      </c>
      <c r="C77" s="20">
        <f>HLOOKUP(VALUE(RIGHT(B77,2))+Assumptions!$C$3-1,Payouts!$B$1:$CW$2,2)</f>
        <v>151456.80999999997</v>
      </c>
      <c r="D77" s="20">
        <f>HLOOKUP(VALUE(RIGHT(B77,2))+Assumptions!$C$3-1,Payouts!$DD$1:$GY$2,2)</f>
        <v>51313.55</v>
      </c>
    </row>
    <row r="78" spans="2:4" x14ac:dyDescent="0.25">
      <c r="B78" s="15" t="str">
        <f t="shared" si="0"/>
        <v>Year 44</v>
      </c>
      <c r="C78" s="20">
        <f>HLOOKUP(VALUE(RIGHT(B78,2))+Assumptions!$C$3-1,Payouts!$B$1:$CW$2,2)</f>
        <v>145216.83000000002</v>
      </c>
      <c r="D78" s="20">
        <f>HLOOKUP(VALUE(RIGHT(B78,2))+Assumptions!$C$3-1,Payouts!$DD$1:$GY$2,2)</f>
        <v>49344.07</v>
      </c>
    </row>
    <row r="79" spans="2:4" x14ac:dyDescent="0.25">
      <c r="B79" s="15" t="str">
        <f t="shared" si="0"/>
        <v>Year 45</v>
      </c>
      <c r="C79" s="20">
        <f>HLOOKUP(VALUE(RIGHT(B79,2))+Assumptions!$C$3-1,Payouts!$B$1:$CW$2,2)</f>
        <v>146450.49</v>
      </c>
      <c r="D79" s="20">
        <f>HLOOKUP(VALUE(RIGHT(B79,2))+Assumptions!$C$3-1,Payouts!$DD$1:$GY$2,2)</f>
        <v>47622.719999999987</v>
      </c>
    </row>
    <row r="80" spans="2:4" x14ac:dyDescent="0.25">
      <c r="B80" s="15" t="str">
        <f t="shared" si="0"/>
        <v>Year 46</v>
      </c>
      <c r="C80" s="20">
        <f>HLOOKUP(VALUE(RIGHT(B80,2))+Assumptions!$C$3-1,Payouts!$B$1:$CW$2,2)</f>
        <v>147225.21</v>
      </c>
      <c r="D80" s="20">
        <f>HLOOKUP(VALUE(RIGHT(B80,2))+Assumptions!$C$3-1,Payouts!$DD$1:$GY$2,2)</f>
        <v>45910.34</v>
      </c>
    </row>
    <row r="81" spans="2:4" x14ac:dyDescent="0.25">
      <c r="B81" s="15" t="str">
        <f t="shared" si="0"/>
        <v>Year 47</v>
      </c>
      <c r="C81" s="20">
        <f>HLOOKUP(VALUE(RIGHT(B81,2))+Assumptions!$C$3-1,Payouts!$B$1:$CW$2,2)</f>
        <v>147741.47</v>
      </c>
      <c r="D81" s="20">
        <f>HLOOKUP(VALUE(RIGHT(B81,2))+Assumptions!$C$3-1,Payouts!$DD$1:$GY$2,2)</f>
        <v>44219.5</v>
      </c>
    </row>
    <row r="82" spans="2:4" x14ac:dyDescent="0.25">
      <c r="B82" s="15" t="str">
        <f t="shared" si="0"/>
        <v>Year 48</v>
      </c>
      <c r="C82" s="20">
        <f>HLOOKUP(VALUE(RIGHT(B82,2))+Assumptions!$C$3-1,Payouts!$B$1:$CW$2,2)</f>
        <v>147781.01</v>
      </c>
      <c r="D82" s="20">
        <f>HLOOKUP(VALUE(RIGHT(B82,2))+Assumptions!$C$3-1,Payouts!$DD$1:$GY$2,2)</f>
        <v>42546.399999999994</v>
      </c>
    </row>
    <row r="83" spans="2:4" x14ac:dyDescent="0.25">
      <c r="B83" s="15" t="str">
        <f t="shared" si="0"/>
        <v>Year 49</v>
      </c>
      <c r="C83" s="20">
        <f>HLOOKUP(VALUE(RIGHT(B83,2))+Assumptions!$C$3-1,Payouts!$B$1:$CW$2,2)</f>
        <v>147442.66999999998</v>
      </c>
      <c r="D83" s="20">
        <f>HLOOKUP(VALUE(RIGHT(B83,2))+Assumptions!$C$3-1,Payouts!$DD$1:$GY$2,2)</f>
        <v>40859.199999999997</v>
      </c>
    </row>
    <row r="84" spans="2:4" x14ac:dyDescent="0.25">
      <c r="B84" s="15" t="str">
        <f t="shared" si="0"/>
        <v>Year 50</v>
      </c>
      <c r="C84" s="20">
        <f>HLOOKUP(VALUE(RIGHT(B84,2))+Assumptions!$C$3-1,Payouts!$B$1:$CW$2,2)</f>
        <v>146633.19</v>
      </c>
      <c r="D84" s="20">
        <f>HLOOKUP(VALUE(RIGHT(B84,2))+Assumptions!$C$3-1,Payouts!$DD$1:$GY$2,2)</f>
        <v>39146.340000000004</v>
      </c>
    </row>
    <row r="85" spans="2:4" x14ac:dyDescent="0.25">
      <c r="B85" s="15" t="str">
        <f t="shared" si="0"/>
        <v>Year 51</v>
      </c>
      <c r="C85" s="20">
        <f>HLOOKUP(VALUE(RIGHT(B85,2))+Assumptions!$C$3-1,Payouts!$B$1:$CW$2,2)</f>
        <v>145267.87</v>
      </c>
      <c r="D85" s="20">
        <f>HLOOKUP(VALUE(RIGHT(B85,2))+Assumptions!$C$3-1,Payouts!$DD$1:$GY$2,2)</f>
        <v>37352.26</v>
      </c>
    </row>
    <row r="86" spans="2:4" x14ac:dyDescent="0.25">
      <c r="B86" s="15" t="str">
        <f t="shared" si="0"/>
        <v>Year 52</v>
      </c>
      <c r="C86" s="20">
        <f>HLOOKUP(VALUE(RIGHT(B86,2))+Assumptions!$C$3-1,Payouts!$B$1:$CW$2,2)</f>
        <v>143172.70000000001</v>
      </c>
      <c r="D86" s="20">
        <f>HLOOKUP(VALUE(RIGHT(B86,2))+Assumptions!$C$3-1,Payouts!$DD$1:$GY$2,2)</f>
        <v>35467.409999999996</v>
      </c>
    </row>
    <row r="87" spans="2:4" x14ac:dyDescent="0.25">
      <c r="B87" s="15" t="str">
        <f t="shared" si="0"/>
        <v>Year 53</v>
      </c>
      <c r="C87" s="20">
        <f>HLOOKUP(VALUE(RIGHT(B87,2))+Assumptions!$C$3-1,Payouts!$B$1:$CW$2,2)</f>
        <v>140454.5</v>
      </c>
      <c r="D87" s="20">
        <f>HLOOKUP(VALUE(RIGHT(B87,2))+Assumptions!$C$3-1,Payouts!$DD$1:$GY$2,2)</f>
        <v>33492.629999999997</v>
      </c>
    </row>
    <row r="88" spans="2:4" x14ac:dyDescent="0.25">
      <c r="B88" s="15" t="str">
        <f t="shared" si="0"/>
        <v>Year 54</v>
      </c>
      <c r="C88" s="20">
        <f>HLOOKUP(VALUE(RIGHT(B88,2))+Assumptions!$C$3-1,Payouts!$B$1:$CW$2,2)</f>
        <v>137148.92000000001</v>
      </c>
      <c r="D88" s="20">
        <f>HLOOKUP(VALUE(RIGHT(B88,2))+Assumptions!$C$3-1,Payouts!$DD$1:$GY$2,2)</f>
        <v>31465.020000000004</v>
      </c>
    </row>
    <row r="89" spans="2:4" x14ac:dyDescent="0.25">
      <c r="B89" s="15" t="str">
        <f t="shared" si="0"/>
        <v>Year 55</v>
      </c>
      <c r="C89" s="20">
        <f>HLOOKUP(VALUE(RIGHT(B89,2))+Assumptions!$C$3-1,Payouts!$B$1:$CW$2,2)</f>
        <v>133225.35999999999</v>
      </c>
      <c r="D89" s="20">
        <f>HLOOKUP(VALUE(RIGHT(B89,2))+Assumptions!$C$3-1,Payouts!$DD$1:$GY$2,2)</f>
        <v>29380.16</v>
      </c>
    </row>
    <row r="90" spans="2:4" x14ac:dyDescent="0.25">
      <c r="B90" s="15" t="str">
        <f t="shared" si="0"/>
        <v>Year 56</v>
      </c>
      <c r="C90" s="20">
        <f>HLOOKUP(VALUE(RIGHT(B90,2))+Assumptions!$C$3-1,Payouts!$B$1:$CW$2,2)</f>
        <v>128653.84000000001</v>
      </c>
      <c r="D90" s="20">
        <f>HLOOKUP(VALUE(RIGHT(B90,2))+Assumptions!$C$3-1,Payouts!$DD$1:$GY$2,2)</f>
        <v>27240.670000000002</v>
      </c>
    </row>
    <row r="91" spans="2:4" x14ac:dyDescent="0.25">
      <c r="B91" s="15" t="str">
        <f t="shared" si="0"/>
        <v>Year 57</v>
      </c>
      <c r="C91" s="20">
        <f>HLOOKUP(VALUE(RIGHT(B91,2))+Assumptions!$C$3-1,Payouts!$B$1:$CW$2,2)</f>
        <v>123414.93999999999</v>
      </c>
      <c r="D91" s="20">
        <f>HLOOKUP(VALUE(RIGHT(B91,2))+Assumptions!$C$3-1,Payouts!$DD$1:$GY$2,2)</f>
        <v>25027.329999999998</v>
      </c>
    </row>
    <row r="92" spans="2:4" x14ac:dyDescent="0.25">
      <c r="B92" s="15" t="str">
        <f t="shared" si="0"/>
        <v>Year 58</v>
      </c>
      <c r="C92" s="20">
        <f>HLOOKUP(VALUE(RIGHT(B92,2))+Assumptions!$C$3-1,Payouts!$B$1:$CW$2,2)</f>
        <v>117582.76000000001</v>
      </c>
      <c r="D92" s="20">
        <f>HLOOKUP(VALUE(RIGHT(B92,2))+Assumptions!$C$3-1,Payouts!$DD$1:$GY$2,2)</f>
        <v>22776.810000000005</v>
      </c>
    </row>
    <row r="93" spans="2:4" x14ac:dyDescent="0.25">
      <c r="B93" s="15" t="str">
        <f t="shared" si="0"/>
        <v>Year 59</v>
      </c>
      <c r="C93" s="20">
        <f>HLOOKUP(VALUE(RIGHT(B93,2))+Assumptions!$C$3-1,Payouts!$B$1:$CW$2,2)</f>
        <v>111239.73999999999</v>
      </c>
      <c r="D93" s="20">
        <f>HLOOKUP(VALUE(RIGHT(B93,2))+Assumptions!$C$3-1,Payouts!$DD$1:$GY$2,2)</f>
        <v>20520.66</v>
      </c>
    </row>
    <row r="94" spans="2:4" x14ac:dyDescent="0.25">
      <c r="B94" s="15" t="str">
        <f t="shared" si="0"/>
        <v>Year 60</v>
      </c>
      <c r="C94" s="20">
        <f>HLOOKUP(VALUE(RIGHT(B94,2))+Assumptions!$C$3-1,Payouts!$B$1:$CW$2,2)</f>
        <v>104571.43</v>
      </c>
      <c r="D94" s="20">
        <f>HLOOKUP(VALUE(RIGHT(B94,2))+Assumptions!$C$3-1,Payouts!$DD$1:$GY$2,2)</f>
        <v>18331.439999999999</v>
      </c>
    </row>
    <row r="95" spans="2:4" x14ac:dyDescent="0.25">
      <c r="B95" s="15" t="str">
        <f t="shared" si="0"/>
        <v>Year 61</v>
      </c>
      <c r="C95" s="20">
        <f>HLOOKUP(VALUE(RIGHT(B95,2))+Assumptions!$C$3-1,Payouts!$B$1:$CW$2,2)</f>
        <v>97622.689999999988</v>
      </c>
      <c r="D95" s="20">
        <f>HLOOKUP(VALUE(RIGHT(B95,2))+Assumptions!$C$3-1,Payouts!$DD$1:$GY$2,2)</f>
        <v>16218.020000000002</v>
      </c>
    </row>
    <row r="96" spans="2:4" x14ac:dyDescent="0.25">
      <c r="B96" s="15" t="str">
        <f t="shared" si="0"/>
        <v>Year 62</v>
      </c>
      <c r="C96" s="20">
        <f>HLOOKUP(VALUE(RIGHT(B96,2))+Assumptions!$C$3-1,Payouts!$B$1:$CW$2,2)</f>
        <v>90463.290000000008</v>
      </c>
      <c r="D96" s="20">
        <f>HLOOKUP(VALUE(RIGHT(B96,2))+Assumptions!$C$3-1,Payouts!$DD$1:$GY$2,2)</f>
        <v>14202.98</v>
      </c>
    </row>
    <row r="97" spans="2:4" x14ac:dyDescent="0.25">
      <c r="B97" s="15" t="str">
        <f t="shared" si="0"/>
        <v>Year 63</v>
      </c>
      <c r="C97" s="20">
        <f>HLOOKUP(VALUE(RIGHT(B97,2))+Assumptions!$C$3-1,Payouts!$B$1:$CW$2,2)</f>
        <v>83169.83</v>
      </c>
      <c r="D97" s="20">
        <f>HLOOKUP(VALUE(RIGHT(B97,2))+Assumptions!$C$3-1,Payouts!$DD$1:$GY$2,2)</f>
        <v>12296.199999999999</v>
      </c>
    </row>
    <row r="98" spans="2:4" x14ac:dyDescent="0.25">
      <c r="B98" s="15" t="str">
        <f t="shared" si="0"/>
        <v>Year 64</v>
      </c>
      <c r="C98" s="20">
        <f>HLOOKUP(VALUE(RIGHT(B98,2))+Assumptions!$C$3-1,Payouts!$B$1:$CW$2,2)</f>
        <v>75906.509999999995</v>
      </c>
      <c r="D98" s="20">
        <f>HLOOKUP(VALUE(RIGHT(B98,2))+Assumptions!$C$3-1,Payouts!$DD$1:$GY$2,2)</f>
        <v>10556.459999999997</v>
      </c>
    </row>
    <row r="99" spans="2:4" x14ac:dyDescent="0.25">
      <c r="B99" s="15" t="str">
        <f t="shared" si="0"/>
        <v>Year 65</v>
      </c>
      <c r="C99" s="20">
        <f>HLOOKUP(VALUE(RIGHT(B99,2))+Assumptions!$C$3-1,Payouts!$B$1:$CW$2,2)</f>
        <v>68687.77</v>
      </c>
      <c r="D99" s="20">
        <f>HLOOKUP(VALUE(RIGHT(B99,2))+Assumptions!$C$3-1,Payouts!$DD$1:$GY$2,2)</f>
        <v>8964.51</v>
      </c>
    </row>
    <row r="100" spans="2:4" x14ac:dyDescent="0.25">
      <c r="B100" s="15" t="str">
        <f t="shared" si="0"/>
        <v>Year 66</v>
      </c>
      <c r="C100" s="20">
        <f>HLOOKUP(VALUE(RIGHT(B100,2))+Assumptions!$C$3-1,Payouts!$B$1:$CW$2,2)</f>
        <v>61607.86</v>
      </c>
      <c r="D100" s="20">
        <f>HLOOKUP(VALUE(RIGHT(B100,2))+Assumptions!$C$3-1,Payouts!$DD$1:$GY$2,2)</f>
        <v>7526.2300000000005</v>
      </c>
    </row>
    <row r="101" spans="2:4" x14ac:dyDescent="0.25">
      <c r="B101" s="15" t="str">
        <f t="shared" ref="B101:B133" si="1">"Year "&amp;VALUE(RIGHT(B100, 2)) + 1</f>
        <v>Year 67</v>
      </c>
      <c r="C101" s="20">
        <f>HLOOKUP(VALUE(RIGHT(B101,2))+Assumptions!$C$3-1,Payouts!$B$1:$CW$2,2)</f>
        <v>54699.850000000006</v>
      </c>
      <c r="D101" s="20">
        <f>HLOOKUP(VALUE(RIGHT(B101,2))+Assumptions!$C$3-1,Payouts!$DD$1:$GY$2,2)</f>
        <v>6251.9000000000005</v>
      </c>
    </row>
    <row r="102" spans="2:4" x14ac:dyDescent="0.25">
      <c r="B102" s="15" t="str">
        <f t="shared" si="1"/>
        <v>Year 68</v>
      </c>
      <c r="C102" s="20">
        <f>HLOOKUP(VALUE(RIGHT(B102,2))+Assumptions!$C$3-1,Payouts!$B$1:$CW$2,2)</f>
        <v>48023.44</v>
      </c>
      <c r="D102" s="20">
        <f>HLOOKUP(VALUE(RIGHT(B102,2))+Assumptions!$C$3-1,Payouts!$DD$1:$GY$2,2)</f>
        <v>5143.5499999999993</v>
      </c>
    </row>
    <row r="103" spans="2:4" x14ac:dyDescent="0.25">
      <c r="B103" s="15" t="str">
        <f t="shared" si="1"/>
        <v>Year 69</v>
      </c>
      <c r="C103" s="20">
        <f>HLOOKUP(VALUE(RIGHT(B103,2))+Assumptions!$C$3-1,Payouts!$B$1:$CW$2,2)</f>
        <v>41577.97</v>
      </c>
      <c r="D103" s="20">
        <f>HLOOKUP(VALUE(RIGHT(B103,2))+Assumptions!$C$3-1,Payouts!$DD$1:$GY$2,2)</f>
        <v>4173.09</v>
      </c>
    </row>
    <row r="104" spans="2:4" x14ac:dyDescent="0.25">
      <c r="B104" s="15" t="str">
        <f t="shared" si="1"/>
        <v>Year 70</v>
      </c>
      <c r="C104" s="20">
        <f>HLOOKUP(VALUE(RIGHT(B104,2))+Assumptions!$C$3-1,Payouts!$B$1:$CW$2,2)</f>
        <v>35467.31</v>
      </c>
      <c r="D104" s="20">
        <f>HLOOKUP(VALUE(RIGHT(B104,2))+Assumptions!$C$3-1,Payouts!$DD$1:$GY$2,2)</f>
        <v>3345.8500000000004</v>
      </c>
    </row>
    <row r="105" spans="2:4" x14ac:dyDescent="0.25">
      <c r="B105" s="15" t="str">
        <f t="shared" si="1"/>
        <v>Year 71</v>
      </c>
      <c r="C105" s="20">
        <f>HLOOKUP(VALUE(RIGHT(B105,2))+Assumptions!$C$3-1,Payouts!$B$1:$CW$2,2)</f>
        <v>29743.909999999996</v>
      </c>
      <c r="D105" s="20">
        <f>HLOOKUP(VALUE(RIGHT(B105,2))+Assumptions!$C$3-1,Payouts!$DD$1:$GY$2,2)</f>
        <v>2652.1500000000005</v>
      </c>
    </row>
    <row r="106" spans="2:4" x14ac:dyDescent="0.25">
      <c r="B106" s="15" t="str">
        <f t="shared" si="1"/>
        <v>Year 72</v>
      </c>
      <c r="C106" s="20">
        <f>HLOOKUP(VALUE(RIGHT(B106,2))+Assumptions!$C$3-1,Payouts!$B$1:$CW$2,2)</f>
        <v>24484.18</v>
      </c>
      <c r="D106" s="20">
        <f>HLOOKUP(VALUE(RIGHT(B106,2))+Assumptions!$C$3-1,Payouts!$DD$1:$GY$2,2)</f>
        <v>2076.5899999999997</v>
      </c>
    </row>
    <row r="107" spans="2:4" x14ac:dyDescent="0.25">
      <c r="B107" s="15" t="str">
        <f t="shared" si="1"/>
        <v>Year 73</v>
      </c>
      <c r="C107" s="20">
        <f>HLOOKUP(VALUE(RIGHT(B107,2))+Assumptions!$C$3-1,Payouts!$B$1:$CW$2,2)</f>
        <v>19721.89</v>
      </c>
      <c r="D107" s="20">
        <f>HLOOKUP(VALUE(RIGHT(B107,2))+Assumptions!$C$3-1,Payouts!$DD$1:$GY$2,2)</f>
        <v>1597.3799999999999</v>
      </c>
    </row>
    <row r="108" spans="2:4" x14ac:dyDescent="0.25">
      <c r="B108" s="15" t="str">
        <f t="shared" si="1"/>
        <v>Year 74</v>
      </c>
      <c r="C108" s="20">
        <f>HLOOKUP(VALUE(RIGHT(B108,2))+Assumptions!$C$3-1,Payouts!$B$1:$CW$2,2)</f>
        <v>15497.25</v>
      </c>
      <c r="D108" s="20">
        <f>HLOOKUP(VALUE(RIGHT(B108,2))+Assumptions!$C$3-1,Payouts!$DD$1:$GY$2,2)</f>
        <v>1200.3</v>
      </c>
    </row>
    <row r="109" spans="2:4" x14ac:dyDescent="0.25">
      <c r="B109" s="15" t="str">
        <f t="shared" si="1"/>
        <v>Year 75</v>
      </c>
      <c r="C109" s="20">
        <f>HLOOKUP(VALUE(RIGHT(B109,2))+Assumptions!$C$3-1,Payouts!$B$1:$CW$2,2)</f>
        <v>11855.93</v>
      </c>
      <c r="D109" s="20">
        <f>HLOOKUP(VALUE(RIGHT(B109,2))+Assumptions!$C$3-1,Payouts!$DD$1:$GY$2,2)</f>
        <v>874.71</v>
      </c>
    </row>
    <row r="110" spans="2:4" x14ac:dyDescent="0.25">
      <c r="B110" s="15" t="str">
        <f t="shared" si="1"/>
        <v>Year 76</v>
      </c>
      <c r="C110" s="20">
        <f>HLOOKUP(VALUE(RIGHT(B110,2))+Assumptions!$C$3-1,Payouts!$B$1:$CW$2,2)</f>
        <v>8810.74</v>
      </c>
      <c r="D110" s="20">
        <f>HLOOKUP(VALUE(RIGHT(B110,2))+Assumptions!$C$3-1,Payouts!$DD$1:$GY$2,2)</f>
        <v>616.42000000000007</v>
      </c>
    </row>
    <row r="111" spans="2:4" x14ac:dyDescent="0.25">
      <c r="B111" s="15" t="str">
        <f t="shared" si="1"/>
        <v>Year 77</v>
      </c>
      <c r="C111" s="20">
        <f>HLOOKUP(VALUE(RIGHT(B111,2))+Assumptions!$C$3-1,Payouts!$B$1:$CW$2,2)</f>
        <v>6312.63</v>
      </c>
      <c r="D111" s="20">
        <f>HLOOKUP(VALUE(RIGHT(B111,2))+Assumptions!$C$3-1,Payouts!$DD$1:$GY$2,2)</f>
        <v>416.4</v>
      </c>
    </row>
    <row r="112" spans="2:4" x14ac:dyDescent="0.25">
      <c r="B112" s="15" t="str">
        <f t="shared" si="1"/>
        <v>Year 78</v>
      </c>
      <c r="C112" s="20">
        <f>HLOOKUP(VALUE(RIGHT(B112,2))+Assumptions!$C$3-1,Payouts!$B$1:$CW$2,2)</f>
        <v>4367.17</v>
      </c>
      <c r="D112" s="20">
        <f>HLOOKUP(VALUE(RIGHT(B112,2))+Assumptions!$C$3-1,Payouts!$DD$1:$GY$2,2)</f>
        <v>270.06</v>
      </c>
    </row>
    <row r="113" spans="2:4" x14ac:dyDescent="0.25">
      <c r="B113" s="15" t="str">
        <f t="shared" si="1"/>
        <v>Year 79</v>
      </c>
      <c r="C113" s="20">
        <f>HLOOKUP(VALUE(RIGHT(B113,2))+Assumptions!$C$3-1,Payouts!$B$1:$CW$2,2)</f>
        <v>2912.21</v>
      </c>
      <c r="D113" s="20">
        <f>HLOOKUP(VALUE(RIGHT(B113,2))+Assumptions!$C$3-1,Payouts!$DD$1:$GY$2,2)</f>
        <v>168.59</v>
      </c>
    </row>
    <row r="114" spans="2:4" x14ac:dyDescent="0.25">
      <c r="B114" s="15" t="str">
        <f t="shared" si="1"/>
        <v>Year 80</v>
      </c>
      <c r="C114" s="20">
        <f>HLOOKUP(VALUE(RIGHT(B114,2))+Assumptions!$C$3-1,Payouts!$B$1:$CW$2,2)</f>
        <v>1865.04</v>
      </c>
      <c r="D114" s="20">
        <f>HLOOKUP(VALUE(RIGHT(B114,2))+Assumptions!$C$3-1,Payouts!$DD$1:$GY$2,2)</f>
        <v>100.61999999999999</v>
      </c>
    </row>
    <row r="115" spans="2:4" x14ac:dyDescent="0.25">
      <c r="B115" s="15" t="str">
        <f t="shared" si="1"/>
        <v>Year 81</v>
      </c>
      <c r="C115" s="20">
        <f>HLOOKUP(VALUE(RIGHT(B115,2))+Assumptions!$C$3-1,Payouts!$B$1:$CW$2,2)</f>
        <v>1124.6500000000001</v>
      </c>
      <c r="D115" s="20">
        <f>HLOOKUP(VALUE(RIGHT(B115,2))+Assumptions!$C$3-1,Payouts!$DD$1:$GY$2,2)</f>
        <v>56.42</v>
      </c>
    </row>
    <row r="116" spans="2:4" x14ac:dyDescent="0.25">
      <c r="B116" s="15" t="str">
        <f t="shared" si="1"/>
        <v>Year 82</v>
      </c>
      <c r="C116" s="20">
        <f>HLOOKUP(VALUE(RIGHT(B116,2))+Assumptions!$C$3-1,Payouts!$B$1:$CW$2,2)</f>
        <v>637.76</v>
      </c>
      <c r="D116" s="20">
        <f>HLOOKUP(VALUE(RIGHT(B116,2))+Assumptions!$C$3-1,Payouts!$DD$1:$GY$2,2)</f>
        <v>29.630000000000003</v>
      </c>
    </row>
    <row r="117" spans="2:4" x14ac:dyDescent="0.25">
      <c r="B117" s="15" t="str">
        <f t="shared" si="1"/>
        <v>Year 83</v>
      </c>
      <c r="C117" s="20">
        <f>HLOOKUP(VALUE(RIGHT(B117,2))+Assumptions!$C$3-1,Payouts!$B$1:$CW$2,2)</f>
        <v>332.12</v>
      </c>
      <c r="D117" s="20">
        <f>HLOOKUP(VALUE(RIGHT(B117,2))+Assumptions!$C$3-1,Payouts!$DD$1:$GY$2,2)</f>
        <v>14.360000000000001</v>
      </c>
    </row>
    <row r="118" spans="2:4" x14ac:dyDescent="0.25">
      <c r="B118" s="15" t="str">
        <f t="shared" si="1"/>
        <v>Year 84</v>
      </c>
      <c r="C118" s="20">
        <f>HLOOKUP(VALUE(RIGHT(B118,2))+Assumptions!$C$3-1,Payouts!$B$1:$CW$2,2)</f>
        <v>154.51999999999998</v>
      </c>
      <c r="D118" s="20">
        <f>HLOOKUP(VALUE(RIGHT(B118,2))+Assumptions!$C$3-1,Payouts!$DD$1:$GY$2,2)</f>
        <v>6.24</v>
      </c>
    </row>
    <row r="119" spans="2:4" x14ac:dyDescent="0.25">
      <c r="B119" s="15" t="str">
        <f t="shared" si="1"/>
        <v>Year 85</v>
      </c>
      <c r="C119" s="20">
        <f>HLOOKUP(VALUE(RIGHT(B119,2))+Assumptions!$C$3-1,Payouts!$B$1:$CW$2,2)</f>
        <v>63.120000000000005</v>
      </c>
      <c r="D119" s="20">
        <f>HLOOKUP(VALUE(RIGHT(B119,2))+Assumptions!$C$3-1,Payouts!$DD$1:$GY$2,2)</f>
        <v>2.4</v>
      </c>
    </row>
    <row r="120" spans="2:4" x14ac:dyDescent="0.25">
      <c r="B120" s="15" t="str">
        <f t="shared" si="1"/>
        <v>Year 86</v>
      </c>
      <c r="C120" s="20">
        <f>HLOOKUP(VALUE(RIGHT(B120,2))+Assumptions!$C$3-1,Payouts!$B$1:$CW$2,2)</f>
        <v>22.4</v>
      </c>
      <c r="D120" s="20">
        <f>HLOOKUP(VALUE(RIGHT(B120,2))+Assumptions!$C$3-1,Payouts!$DD$1:$GY$2,2)</f>
        <v>0.8</v>
      </c>
    </row>
    <row r="121" spans="2:4" x14ac:dyDescent="0.25">
      <c r="B121" s="15" t="str">
        <f t="shared" si="1"/>
        <v>Year 87</v>
      </c>
      <c r="C121" s="20">
        <f>HLOOKUP(VALUE(RIGHT(B121,2))+Assumptions!$C$3-1,Payouts!$B$1:$CW$2,2)</f>
        <v>6.58</v>
      </c>
      <c r="D121" s="20">
        <f>HLOOKUP(VALUE(RIGHT(B121,2))+Assumptions!$C$3-1,Payouts!$DD$1:$GY$2,2)</f>
        <v>0.23</v>
      </c>
    </row>
    <row r="122" spans="2:4" x14ac:dyDescent="0.25">
      <c r="B122" s="15" t="str">
        <f t="shared" si="1"/>
        <v>Year 88</v>
      </c>
      <c r="C122" s="20">
        <f>HLOOKUP(VALUE(RIGHT(B122,2))+Assumptions!$C$3-1,Payouts!$B$1:$CW$2,2)</f>
        <v>1.51</v>
      </c>
      <c r="D122" s="20">
        <f>HLOOKUP(VALUE(RIGHT(B122,2))+Assumptions!$C$3-1,Payouts!$DD$1:$GY$2,2)</f>
        <v>0.05</v>
      </c>
    </row>
    <row r="123" spans="2:4" x14ac:dyDescent="0.25">
      <c r="B123" s="15" t="str">
        <f t="shared" si="1"/>
        <v>Year 89</v>
      </c>
      <c r="C123" s="20">
        <f>HLOOKUP(VALUE(RIGHT(B123,2))+Assumptions!$C$3-1,Payouts!$B$1:$CW$2,2)</f>
        <v>0.22</v>
      </c>
      <c r="D123" s="20">
        <f>HLOOKUP(VALUE(RIGHT(B123,2))+Assumptions!$C$3-1,Payouts!$DD$1:$GY$2,2)</f>
        <v>0.01</v>
      </c>
    </row>
    <row r="124" spans="2:4" x14ac:dyDescent="0.25">
      <c r="B124" s="15" t="str">
        <f t="shared" si="1"/>
        <v>Year 90</v>
      </c>
      <c r="C124" s="20">
        <f>HLOOKUP(VALUE(RIGHT(B124,2))+Assumptions!$C$3-1,Payouts!$B$1:$CW$2,2)</f>
        <v>0</v>
      </c>
      <c r="D124" s="20">
        <f>HLOOKUP(VALUE(RIGHT(B124,2))+Assumptions!$C$3-1,Payouts!$DD$1:$GY$2,2)</f>
        <v>0</v>
      </c>
    </row>
    <row r="125" spans="2:4" x14ac:dyDescent="0.25">
      <c r="B125" s="15" t="str">
        <f t="shared" si="1"/>
        <v>Year 91</v>
      </c>
      <c r="C125" s="20">
        <f>HLOOKUP(VALUE(RIGHT(B125,2))+Assumptions!$C$3-1,Payouts!$B$1:$CW$2,2)</f>
        <v>0</v>
      </c>
      <c r="D125" s="20">
        <f>HLOOKUP(VALUE(RIGHT(B125,2))+Assumptions!$C$3-1,Payouts!$DD$1:$GY$2,2)</f>
        <v>0</v>
      </c>
    </row>
    <row r="126" spans="2:4" x14ac:dyDescent="0.25">
      <c r="B126" s="15" t="str">
        <f t="shared" si="1"/>
        <v>Year 92</v>
      </c>
      <c r="C126" s="20">
        <f>HLOOKUP(VALUE(RIGHT(B126,2))+Assumptions!$C$3-1,Payouts!$B$1:$CW$2,2)</f>
        <v>0</v>
      </c>
      <c r="D126" s="20">
        <f>HLOOKUP(VALUE(RIGHT(B126,2))+Assumptions!$C$3-1,Payouts!$DD$1:$GY$2,2)</f>
        <v>0</v>
      </c>
    </row>
    <row r="127" spans="2:4" x14ac:dyDescent="0.25">
      <c r="B127" s="15" t="str">
        <f t="shared" si="1"/>
        <v>Year 93</v>
      </c>
      <c r="C127" s="20">
        <f>HLOOKUP(VALUE(RIGHT(B127,2))+Assumptions!$C$3-1,Payouts!$B$1:$CW$2,2)</f>
        <v>0</v>
      </c>
      <c r="D127" s="20">
        <f>HLOOKUP(VALUE(RIGHT(B127,2))+Assumptions!$C$3-1,Payouts!$DD$1:$GY$2,2)</f>
        <v>0</v>
      </c>
    </row>
    <row r="128" spans="2:4" x14ac:dyDescent="0.25">
      <c r="B128" s="15" t="str">
        <f t="shared" si="1"/>
        <v>Year 94</v>
      </c>
      <c r="C128" s="20">
        <f>HLOOKUP(VALUE(RIGHT(B128,2))+Assumptions!$C$3-1,Payouts!$B$1:$CW$2,2)</f>
        <v>0</v>
      </c>
      <c r="D128" s="20">
        <f>HLOOKUP(VALUE(RIGHT(B128,2))+Assumptions!$C$3-1,Payouts!$DD$1:$GY$2,2)</f>
        <v>0</v>
      </c>
    </row>
    <row r="129" spans="2:4" x14ac:dyDescent="0.25">
      <c r="B129" s="15" t="str">
        <f t="shared" si="1"/>
        <v>Year 95</v>
      </c>
      <c r="C129" s="20">
        <f>HLOOKUP(VALUE(RIGHT(B129,2))+Assumptions!$C$3-1,Payouts!$B$1:$CW$2,2)</f>
        <v>0</v>
      </c>
      <c r="D129" s="20">
        <f>HLOOKUP(VALUE(RIGHT(B129,2))+Assumptions!$C$3-1,Payouts!$DD$1:$GY$2,2)</f>
        <v>0</v>
      </c>
    </row>
    <row r="130" spans="2:4" x14ac:dyDescent="0.25">
      <c r="B130" s="15" t="str">
        <f t="shared" si="1"/>
        <v>Year 96</v>
      </c>
      <c r="C130" s="20">
        <f>HLOOKUP(VALUE(RIGHT(B130,2))+Assumptions!$C$3-1,Payouts!$B$1:$CW$2,2)</f>
        <v>0</v>
      </c>
      <c r="D130" s="20">
        <f>HLOOKUP(VALUE(RIGHT(B130,2))+Assumptions!$C$3-1,Payouts!$DD$1:$GY$2,2)</f>
        <v>0</v>
      </c>
    </row>
    <row r="131" spans="2:4" x14ac:dyDescent="0.25">
      <c r="B131" s="15" t="str">
        <f t="shared" si="1"/>
        <v>Year 97</v>
      </c>
      <c r="C131" s="20">
        <f>HLOOKUP(VALUE(RIGHT(B131,2))+Assumptions!$C$3-1,Payouts!$B$1:$CW$2,2)</f>
        <v>0</v>
      </c>
      <c r="D131" s="20">
        <f>HLOOKUP(VALUE(RIGHT(B131,2))+Assumptions!$C$3-1,Payouts!$DD$1:$GY$2,2)</f>
        <v>0</v>
      </c>
    </row>
    <row r="132" spans="2:4" x14ac:dyDescent="0.25">
      <c r="B132" s="15" t="str">
        <f t="shared" si="1"/>
        <v>Year 98</v>
      </c>
      <c r="C132" s="20">
        <f>HLOOKUP(VALUE(RIGHT(B132,2))+Assumptions!$C$3-1,Payouts!$B$1:$CW$2,2)</f>
        <v>0</v>
      </c>
      <c r="D132" s="20">
        <f>HLOOKUP(VALUE(RIGHT(B132,2))+Assumptions!$C$3-1,Payouts!$DD$1:$GY$2,2)</f>
        <v>0</v>
      </c>
    </row>
    <row r="133" spans="2:4" x14ac:dyDescent="0.25">
      <c r="B133" s="15" t="str">
        <f t="shared" si="1"/>
        <v>Year 99</v>
      </c>
      <c r="C133" s="20">
        <f>HLOOKUP(VALUE(RIGHT(B133,2))+Assumptions!$C$3-1,Payouts!$B$1:$CW$2,2)</f>
        <v>0</v>
      </c>
      <c r="D133" s="20">
        <f>HLOOKUP(VALUE(RIGHT(B133,2))+Assumptions!$C$3-1,Payouts!$DD$1:$GY$2,2)</f>
        <v>0</v>
      </c>
    </row>
  </sheetData>
  <mergeCells count="3">
    <mergeCell ref="C14:D14"/>
    <mergeCell ref="C18:D18"/>
    <mergeCell ref="C15:D15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otal">
                <anchor moveWithCells="1" sizeWithCells="1">
                  <from>
                    <xdr:col>4</xdr:col>
                    <xdr:colOff>438150</xdr:colOff>
                    <xdr:row>2</xdr:row>
                    <xdr:rowOff>180975</xdr:rowOff>
                  </from>
                  <to>
                    <xdr:col>7</xdr:col>
                    <xdr:colOff>152400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770E7-6B37-4E78-AB61-A335A685E654}">
  <sheetPr codeName="Sheet14"/>
  <dimension ref="B2:C13"/>
  <sheetViews>
    <sheetView workbookViewId="0"/>
  </sheetViews>
  <sheetFormatPr defaultRowHeight="15" x14ac:dyDescent="0.25"/>
  <cols>
    <col min="2" max="2" width="27.7109375" bestFit="1" customWidth="1"/>
    <col min="3" max="3" width="9.140625" style="3"/>
  </cols>
  <sheetData>
    <row r="2" spans="2:3" x14ac:dyDescent="0.25">
      <c r="C2" s="3" t="s">
        <v>209</v>
      </c>
    </row>
    <row r="3" spans="2:3" x14ac:dyDescent="0.25">
      <c r="B3" t="s">
        <v>208</v>
      </c>
    </row>
    <row r="4" spans="2:3" x14ac:dyDescent="0.25">
      <c r="B4" s="14" t="s">
        <v>21</v>
      </c>
      <c r="C4" s="3">
        <f>Payouts!CY2-Payouts!CZ2</f>
        <v>7.2885139379650354E-3</v>
      </c>
    </row>
    <row r="5" spans="2:3" x14ac:dyDescent="0.25">
      <c r="B5" s="14" t="s">
        <v>66</v>
      </c>
      <c r="C5" s="3">
        <f>Payouts!HA2-Payouts!HB2</f>
        <v>4.5378962531685829E-3</v>
      </c>
    </row>
    <row r="6" spans="2:3" x14ac:dyDescent="0.25">
      <c r="B6" t="s">
        <v>210</v>
      </c>
    </row>
    <row r="7" spans="2:3" x14ac:dyDescent="0.25">
      <c r="B7" s="14" t="s">
        <v>21</v>
      </c>
      <c r="C7" s="3">
        <f>'Present Values'!Q2</f>
        <v>-0.13999999999214197</v>
      </c>
    </row>
    <row r="8" spans="2:3" x14ac:dyDescent="0.25">
      <c r="B8" s="14" t="s">
        <v>28</v>
      </c>
      <c r="C8" s="3">
        <f>'Present Values'!R2</f>
        <v>5.0000000024738256E-2</v>
      </c>
    </row>
    <row r="9" spans="2:3" x14ac:dyDescent="0.25">
      <c r="B9" s="14" t="s">
        <v>29</v>
      </c>
      <c r="C9" s="3">
        <f>'Present Values'!T2</f>
        <v>0</v>
      </c>
    </row>
    <row r="10" spans="2:3" x14ac:dyDescent="0.25">
      <c r="B10" s="14" t="s">
        <v>66</v>
      </c>
      <c r="C10" s="3">
        <f>'Present Values'!S2</f>
        <v>-0.13999999995576218</v>
      </c>
    </row>
    <row r="11" spans="2:3" x14ac:dyDescent="0.25">
      <c r="B11" s="14" t="s">
        <v>67</v>
      </c>
      <c r="C11" s="3">
        <f>'Present Values'!U2</f>
        <v>-2.0000000000436557E-2</v>
      </c>
    </row>
    <row r="13" spans="2:3" x14ac:dyDescent="0.25">
      <c r="B13" s="32" t="s">
        <v>211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4467D-EF39-4E9A-9DFC-E40F9F58184D}">
  <sheetPr codeName="Sheet9"/>
  <dimension ref="A1:U22"/>
  <sheetViews>
    <sheetView workbookViewId="0"/>
  </sheetViews>
  <sheetFormatPr defaultRowHeight="15" x14ac:dyDescent="0.25"/>
  <cols>
    <col min="2" max="3" width="13.5703125" bestFit="1" customWidth="1"/>
    <col min="4" max="4" width="13.7109375" bestFit="1" customWidth="1"/>
    <col min="5" max="5" width="11.85546875" bestFit="1" customWidth="1"/>
    <col min="6" max="6" width="13.7109375" bestFit="1" customWidth="1"/>
    <col min="9" max="9" width="3" style="29" customWidth="1"/>
    <col min="10" max="10" width="10.7109375" bestFit="1" customWidth="1"/>
    <col min="11" max="11" width="13.7109375" bestFit="1" customWidth="1"/>
    <col min="12" max="12" width="11.85546875" bestFit="1" customWidth="1"/>
    <col min="13" max="13" width="13.5703125" bestFit="1" customWidth="1"/>
    <col min="14" max="15" width="10.85546875" bestFit="1" customWidth="1"/>
    <col min="17" max="17" width="11.5703125" bestFit="1" customWidth="1"/>
    <col min="18" max="19" width="12.5703125" bestFit="1" customWidth="1"/>
    <col min="20" max="20" width="11.5703125" bestFit="1" customWidth="1"/>
    <col min="21" max="21" width="10.5703125" bestFit="1" customWidth="1"/>
    <col min="23" max="23" width="12.5703125" bestFit="1" customWidth="1"/>
    <col min="24" max="24" width="14.28515625" bestFit="1" customWidth="1"/>
  </cols>
  <sheetData>
    <row r="1" spans="1:21" x14ac:dyDescent="0.25">
      <c r="B1" t="s">
        <v>21</v>
      </c>
      <c r="C1" s="3" t="s">
        <v>28</v>
      </c>
      <c r="D1" s="3" t="s">
        <v>58</v>
      </c>
      <c r="E1" s="3" t="s">
        <v>29</v>
      </c>
      <c r="F1" s="3" t="s">
        <v>57</v>
      </c>
      <c r="G1" s="3" t="s">
        <v>180</v>
      </c>
      <c r="H1" s="3"/>
      <c r="J1" t="s">
        <v>212</v>
      </c>
      <c r="Q1" t="s">
        <v>81</v>
      </c>
      <c r="R1" s="3">
        <f>Payouts!CY2-B2</f>
        <v>7.2885139379650354E-3</v>
      </c>
      <c r="T1" t="s">
        <v>171</v>
      </c>
      <c r="U1" s="12">
        <f>Payouts!HB2-Payouts!HA2</f>
        <v>-4.5378962531685829E-3</v>
      </c>
    </row>
    <row r="2" spans="1:21" x14ac:dyDescent="0.25">
      <c r="A2" t="s">
        <v>61</v>
      </c>
      <c r="B2" s="17">
        <f>SUM(B5:B1048576)</f>
        <v>1925674.6</v>
      </c>
      <c r="C2" s="17">
        <f>SUM(C5:C1048576)</f>
        <v>952904.20000000007</v>
      </c>
      <c r="D2" s="17">
        <f t="shared" ref="D2:F2" si="0">SUM(D5:D1048576)</f>
        <v>1206434.1000000001</v>
      </c>
      <c r="E2" s="17">
        <f t="shared" si="0"/>
        <v>75064.12000000001</v>
      </c>
      <c r="F2" s="17">
        <f t="shared" si="0"/>
        <v>54646.11</v>
      </c>
      <c r="G2" s="23">
        <f>AVERAGE(G5:G1048576)</f>
        <v>16.925261937574</v>
      </c>
      <c r="J2" s="13" t="s">
        <v>61</v>
      </c>
      <c r="K2" s="12">
        <f t="shared" ref="K2:U2" si="1">SUM(K5:K1048576)</f>
        <v>1925674.74</v>
      </c>
      <c r="L2" s="12">
        <f t="shared" si="1"/>
        <v>952904.15000000014</v>
      </c>
      <c r="M2" s="12">
        <f t="shared" si="1"/>
        <v>1206434.24</v>
      </c>
      <c r="N2" s="12">
        <f t="shared" si="1"/>
        <v>75064.12</v>
      </c>
      <c r="O2" s="12">
        <f t="shared" si="1"/>
        <v>54646.130000000005</v>
      </c>
      <c r="Q2" s="12">
        <f t="shared" si="1"/>
        <v>-0.13999999999214197</v>
      </c>
      <c r="R2" s="12">
        <f t="shared" si="1"/>
        <v>5.0000000024738256E-2</v>
      </c>
      <c r="S2" s="12">
        <f t="shared" si="1"/>
        <v>-0.13999999995576218</v>
      </c>
      <c r="T2" s="12">
        <f t="shared" si="1"/>
        <v>0</v>
      </c>
      <c r="U2" s="12">
        <f t="shared" si="1"/>
        <v>-2.0000000000436557E-2</v>
      </c>
    </row>
    <row r="3" spans="1:21" x14ac:dyDescent="0.25">
      <c r="J3" s="13"/>
      <c r="K3" s="13"/>
      <c r="Q3" t="s">
        <v>78</v>
      </c>
    </row>
    <row r="4" spans="1:21" x14ac:dyDescent="0.25">
      <c r="A4" t="s">
        <v>3</v>
      </c>
      <c r="B4" t="s">
        <v>21</v>
      </c>
      <c r="C4" s="3" t="s">
        <v>28</v>
      </c>
      <c r="D4" s="3" t="s">
        <v>58</v>
      </c>
      <c r="E4" s="3" t="s">
        <v>29</v>
      </c>
      <c r="F4" s="3" t="s">
        <v>57</v>
      </c>
      <c r="G4" s="3" t="s">
        <v>179</v>
      </c>
      <c r="H4" s="3"/>
      <c r="J4" s="13" t="s">
        <v>3</v>
      </c>
      <c r="K4" s="13" t="s">
        <v>21</v>
      </c>
      <c r="L4" t="s">
        <v>28</v>
      </c>
      <c r="M4" t="s">
        <v>66</v>
      </c>
      <c r="N4" t="s">
        <v>29</v>
      </c>
      <c r="O4" t="s">
        <v>67</v>
      </c>
      <c r="Q4" s="13" t="s">
        <v>21</v>
      </c>
      <c r="R4" t="s">
        <v>28</v>
      </c>
      <c r="S4" t="s">
        <v>66</v>
      </c>
      <c r="T4" t="s">
        <v>29</v>
      </c>
      <c r="U4" t="s">
        <v>67</v>
      </c>
    </row>
    <row r="5" spans="1:21" x14ac:dyDescent="0.25">
      <c r="A5">
        <v>1</v>
      </c>
      <c r="B5" s="12">
        <v>156035.73000000001</v>
      </c>
      <c r="C5" s="12">
        <v>50629.63</v>
      </c>
      <c r="D5" s="12">
        <v>111454.1</v>
      </c>
      <c r="E5" s="12">
        <v>7735.42</v>
      </c>
      <c r="F5" s="12">
        <v>11145.41</v>
      </c>
      <c r="G5">
        <v>15.293320786918535</v>
      </c>
      <c r="J5">
        <v>1</v>
      </c>
      <c r="K5" s="3">
        <v>156035.76</v>
      </c>
      <c r="L5" s="3">
        <v>50629.58</v>
      </c>
      <c r="M5" s="3">
        <v>111454.1</v>
      </c>
      <c r="N5" s="3">
        <v>7735.43</v>
      </c>
      <c r="O5" s="3">
        <v>11145.41</v>
      </c>
      <c r="Q5" s="12">
        <f t="shared" ref="Q5:Q21" si="2">B5-K5</f>
        <v>-2.9999999998835847E-2</v>
      </c>
      <c r="R5" s="12">
        <f t="shared" ref="R5:R21" si="3">C5-L5</f>
        <v>4.9999999995634425E-2</v>
      </c>
      <c r="S5" s="12">
        <f t="shared" ref="S5:S21" si="4">D5-M5</f>
        <v>0</v>
      </c>
      <c r="T5" s="12">
        <f t="shared" ref="T5:T21" si="5">E5-N5</f>
        <v>-1.0000000000218279E-2</v>
      </c>
      <c r="U5" s="12">
        <f t="shared" ref="U5:U21" si="6">F5-O5</f>
        <v>0</v>
      </c>
    </row>
    <row r="6" spans="1:21" x14ac:dyDescent="0.25">
      <c r="A6">
        <v>2</v>
      </c>
      <c r="B6" s="12">
        <v>88192.12</v>
      </c>
      <c r="C6" s="12">
        <v>11990.86</v>
      </c>
      <c r="D6" s="12">
        <v>10583.04</v>
      </c>
      <c r="E6" s="12">
        <v>5395.79</v>
      </c>
      <c r="F6" s="12">
        <v>3527.68</v>
      </c>
      <c r="G6">
        <v>32.442402774554637</v>
      </c>
      <c r="J6">
        <v>2</v>
      </c>
      <c r="K6" s="3">
        <v>88192.149999999951</v>
      </c>
      <c r="L6" s="3">
        <v>11990.88</v>
      </c>
      <c r="M6" s="3">
        <v>10583.07</v>
      </c>
      <c r="N6" s="3">
        <v>5395.79</v>
      </c>
      <c r="O6" s="3">
        <v>3527.69</v>
      </c>
      <c r="Q6" s="12">
        <f t="shared" si="2"/>
        <v>-2.9999999955180101E-2</v>
      </c>
      <c r="R6" s="12">
        <f t="shared" si="3"/>
        <v>-1.9999999998617568E-2</v>
      </c>
      <c r="S6" s="12">
        <f t="shared" si="4"/>
        <v>-2.9999999998835847E-2</v>
      </c>
      <c r="T6" s="12">
        <f t="shared" si="5"/>
        <v>0</v>
      </c>
      <c r="U6" s="12">
        <f t="shared" si="6"/>
        <v>-1.0000000000218279E-2</v>
      </c>
    </row>
    <row r="7" spans="1:21" x14ac:dyDescent="0.25">
      <c r="A7">
        <v>3</v>
      </c>
      <c r="B7" s="12">
        <v>142357.35999999999</v>
      </c>
      <c r="C7" s="12">
        <v>30610.48</v>
      </c>
      <c r="D7" s="12">
        <v>53383.98</v>
      </c>
      <c r="E7" s="12">
        <v>7531.67</v>
      </c>
      <c r="F7" s="12">
        <v>8897.33</v>
      </c>
      <c r="G7">
        <v>21.134519730634899</v>
      </c>
      <c r="J7">
        <v>3</v>
      </c>
      <c r="K7" s="3">
        <v>142357.37000000005</v>
      </c>
      <c r="L7" s="3">
        <v>30610.43</v>
      </c>
      <c r="M7" s="3">
        <v>53384.04</v>
      </c>
      <c r="N7" s="3">
        <v>7531.67</v>
      </c>
      <c r="O7" s="3">
        <v>8897.34</v>
      </c>
      <c r="Q7" s="12">
        <f t="shared" si="2"/>
        <v>-1.0000000067520887E-2</v>
      </c>
      <c r="R7" s="12">
        <f t="shared" si="3"/>
        <v>4.9999999999272404E-2</v>
      </c>
      <c r="S7" s="12">
        <f t="shared" si="4"/>
        <v>-5.9999999997671694E-2</v>
      </c>
      <c r="T7" s="12">
        <f t="shared" si="5"/>
        <v>0</v>
      </c>
      <c r="U7" s="12">
        <f t="shared" si="6"/>
        <v>-1.0000000000218279E-2</v>
      </c>
    </row>
    <row r="8" spans="1:21" x14ac:dyDescent="0.25">
      <c r="A8">
        <v>4</v>
      </c>
      <c r="B8" s="12">
        <v>80081.960000000006</v>
      </c>
      <c r="C8" s="12">
        <v>4205.1000000000004</v>
      </c>
      <c r="D8" s="12">
        <v>4710.7</v>
      </c>
      <c r="E8" s="12">
        <v>6078.3</v>
      </c>
      <c r="F8" s="12">
        <v>4710.7</v>
      </c>
      <c r="G8">
        <v>27.015527974553123</v>
      </c>
      <c r="J8">
        <v>4</v>
      </c>
      <c r="K8" s="3">
        <v>80081.939999999988</v>
      </c>
      <c r="L8" s="3">
        <v>4205.13</v>
      </c>
      <c r="M8" s="3">
        <v>4710.7</v>
      </c>
      <c r="N8" s="3">
        <v>6078.3</v>
      </c>
      <c r="O8" s="3">
        <v>4710.7</v>
      </c>
      <c r="Q8" s="12">
        <f t="shared" si="2"/>
        <v>2.0000000018626451E-2</v>
      </c>
      <c r="R8" s="12">
        <f t="shared" si="3"/>
        <v>-2.9999999999745341E-2</v>
      </c>
      <c r="S8" s="12">
        <f t="shared" si="4"/>
        <v>0</v>
      </c>
      <c r="T8" s="12">
        <f t="shared" si="5"/>
        <v>0</v>
      </c>
      <c r="U8" s="12">
        <f t="shared" si="6"/>
        <v>0</v>
      </c>
    </row>
    <row r="9" spans="1:21" x14ac:dyDescent="0.25">
      <c r="A9">
        <v>5</v>
      </c>
      <c r="B9" s="12">
        <v>138904.9</v>
      </c>
      <c r="C9" s="12">
        <v>103003.19</v>
      </c>
      <c r="D9" s="12">
        <v>138904.9</v>
      </c>
      <c r="E9" s="12">
        <v>6391.93</v>
      </c>
      <c r="F9" s="12">
        <v>0</v>
      </c>
      <c r="G9">
        <v>4.7325363381955725</v>
      </c>
      <c r="J9">
        <v>5</v>
      </c>
      <c r="K9" s="3">
        <v>138904.9</v>
      </c>
      <c r="L9" s="3">
        <v>103003.2</v>
      </c>
      <c r="M9" s="3">
        <v>138904.9</v>
      </c>
      <c r="N9" s="3">
        <v>6391.93</v>
      </c>
      <c r="O9" s="3">
        <v>0</v>
      </c>
      <c r="Q9" s="12">
        <f t="shared" si="2"/>
        <v>0</v>
      </c>
      <c r="R9" s="12">
        <f t="shared" si="3"/>
        <v>-9.9999999947613105E-3</v>
      </c>
      <c r="S9" s="12">
        <f t="shared" si="4"/>
        <v>0</v>
      </c>
      <c r="T9" s="12">
        <f t="shared" si="5"/>
        <v>0</v>
      </c>
      <c r="U9" s="12">
        <f t="shared" si="6"/>
        <v>0</v>
      </c>
    </row>
    <row r="10" spans="1:21" x14ac:dyDescent="0.25">
      <c r="A10">
        <v>6</v>
      </c>
      <c r="B10" s="12">
        <v>159432.12</v>
      </c>
      <c r="C10" s="12">
        <v>66245.69</v>
      </c>
      <c r="D10" s="12">
        <v>159432.12</v>
      </c>
      <c r="E10" s="12">
        <v>8815.7199999999993</v>
      </c>
      <c r="F10" s="12">
        <v>0</v>
      </c>
      <c r="G10">
        <v>9.9914650558351354</v>
      </c>
      <c r="J10">
        <v>6</v>
      </c>
      <c r="K10" s="3">
        <v>159432.15999999997</v>
      </c>
      <c r="L10" s="3">
        <v>66245.73</v>
      </c>
      <c r="M10" s="3">
        <v>159432.15999999997</v>
      </c>
      <c r="N10" s="3">
        <v>8815.7199999999993</v>
      </c>
      <c r="O10" s="3">
        <v>0</v>
      </c>
      <c r="Q10" s="12">
        <f t="shared" si="2"/>
        <v>-3.9999999979045242E-2</v>
      </c>
      <c r="R10" s="12">
        <f t="shared" si="3"/>
        <v>-3.9999999993597157E-2</v>
      </c>
      <c r="S10" s="12">
        <f t="shared" si="4"/>
        <v>-3.9999999979045242E-2</v>
      </c>
      <c r="T10" s="12">
        <f t="shared" si="5"/>
        <v>0</v>
      </c>
      <c r="U10" s="12">
        <f t="shared" si="6"/>
        <v>0</v>
      </c>
    </row>
    <row r="11" spans="1:21" x14ac:dyDescent="0.25">
      <c r="A11">
        <v>7</v>
      </c>
      <c r="B11" s="12">
        <v>134620.75</v>
      </c>
      <c r="C11" s="12">
        <v>35419.22</v>
      </c>
      <c r="D11" s="12">
        <v>59831.44</v>
      </c>
      <c r="E11" s="12">
        <v>6586.94</v>
      </c>
      <c r="F11" s="12">
        <v>7478.93</v>
      </c>
      <c r="G11">
        <v>20.891501020018595</v>
      </c>
      <c r="J11">
        <v>7</v>
      </c>
      <c r="K11" s="3">
        <v>134620.76999999996</v>
      </c>
      <c r="L11" s="3">
        <v>35419.19</v>
      </c>
      <c r="M11" s="3">
        <v>59831.44</v>
      </c>
      <c r="N11" s="3">
        <v>6586.94</v>
      </c>
      <c r="O11" s="3">
        <v>7478.93</v>
      </c>
      <c r="Q11" s="12">
        <f t="shared" si="2"/>
        <v>-1.9999999960418791E-2</v>
      </c>
      <c r="R11" s="12">
        <f t="shared" si="3"/>
        <v>2.9999999998835847E-2</v>
      </c>
      <c r="S11" s="12">
        <f t="shared" si="4"/>
        <v>0</v>
      </c>
      <c r="T11" s="12">
        <f t="shared" si="5"/>
        <v>0</v>
      </c>
      <c r="U11" s="12">
        <f t="shared" si="6"/>
        <v>0</v>
      </c>
    </row>
    <row r="12" spans="1:21" x14ac:dyDescent="0.25">
      <c r="A12">
        <v>8</v>
      </c>
      <c r="B12" s="12">
        <v>85947.13</v>
      </c>
      <c r="C12" s="12">
        <v>8233.7199999999993</v>
      </c>
      <c r="D12" s="12">
        <v>9047.06</v>
      </c>
      <c r="E12" s="12">
        <v>5799</v>
      </c>
      <c r="F12" s="12">
        <v>4523.53</v>
      </c>
      <c r="G12">
        <v>27.821205626973061</v>
      </c>
      <c r="J12">
        <v>8</v>
      </c>
      <c r="K12" s="3">
        <v>85947.120000000024</v>
      </c>
      <c r="L12" s="3">
        <v>8233.7800000000007</v>
      </c>
      <c r="M12" s="3">
        <v>9047.06</v>
      </c>
      <c r="N12" s="3">
        <v>5798.99</v>
      </c>
      <c r="O12" s="3">
        <v>4523.53</v>
      </c>
      <c r="Q12" s="12">
        <f t="shared" si="2"/>
        <v>9.9999999802093953E-3</v>
      </c>
      <c r="R12" s="12">
        <f t="shared" si="3"/>
        <v>-6.0000000001309672E-2</v>
      </c>
      <c r="S12" s="12">
        <f t="shared" si="4"/>
        <v>0</v>
      </c>
      <c r="T12" s="12">
        <f t="shared" si="5"/>
        <v>1.0000000000218279E-2</v>
      </c>
      <c r="U12" s="12">
        <f t="shared" si="6"/>
        <v>0</v>
      </c>
    </row>
    <row r="13" spans="1:21" x14ac:dyDescent="0.25">
      <c r="A13">
        <v>9</v>
      </c>
      <c r="B13" s="12">
        <v>153397.93</v>
      </c>
      <c r="C13" s="12">
        <v>54188.85</v>
      </c>
      <c r="D13" s="12">
        <v>73858.33</v>
      </c>
      <c r="E13" s="12">
        <v>5927.72</v>
      </c>
      <c r="F13" s="12">
        <v>5681.41</v>
      </c>
      <c r="G13">
        <v>24.340366476426126</v>
      </c>
      <c r="J13">
        <v>9</v>
      </c>
      <c r="K13" s="3">
        <v>153397.94000000003</v>
      </c>
      <c r="L13" s="3">
        <v>54188.82</v>
      </c>
      <c r="M13" s="3">
        <v>73858.33</v>
      </c>
      <c r="N13" s="3">
        <v>5927.72</v>
      </c>
      <c r="O13" s="3">
        <v>5681.41</v>
      </c>
      <c r="Q13" s="12">
        <f t="shared" si="2"/>
        <v>-1.0000000038417056E-2</v>
      </c>
      <c r="R13" s="12">
        <f t="shared" si="3"/>
        <v>2.9999999998835847E-2</v>
      </c>
      <c r="S13" s="12">
        <f t="shared" si="4"/>
        <v>0</v>
      </c>
      <c r="T13" s="12">
        <f t="shared" si="5"/>
        <v>0</v>
      </c>
      <c r="U13" s="12">
        <f t="shared" si="6"/>
        <v>0</v>
      </c>
    </row>
    <row r="14" spans="1:21" x14ac:dyDescent="0.25">
      <c r="A14">
        <v>10</v>
      </c>
      <c r="B14" s="12">
        <v>100565.53</v>
      </c>
      <c r="C14" s="12">
        <v>16594.48</v>
      </c>
      <c r="D14" s="12">
        <v>16760.919999999998</v>
      </c>
      <c r="E14" s="12">
        <v>5659.66</v>
      </c>
      <c r="F14" s="12">
        <v>4190.2299999999996</v>
      </c>
      <c r="G14">
        <v>30.495740112151246</v>
      </c>
      <c r="J14">
        <v>10</v>
      </c>
      <c r="K14" s="3">
        <v>100565.55</v>
      </c>
      <c r="L14" s="3">
        <v>16594.46</v>
      </c>
      <c r="M14" s="3">
        <v>16760.919999999998</v>
      </c>
      <c r="N14" s="3">
        <v>5659.66</v>
      </c>
      <c r="O14" s="3">
        <v>4190.2299999999996</v>
      </c>
      <c r="Q14" s="12">
        <f t="shared" si="2"/>
        <v>-2.0000000004074536E-2</v>
      </c>
      <c r="R14" s="12">
        <f t="shared" si="3"/>
        <v>2.0000000000436557E-2</v>
      </c>
      <c r="S14" s="12">
        <f t="shared" si="4"/>
        <v>0</v>
      </c>
      <c r="T14" s="12">
        <f t="shared" si="5"/>
        <v>0</v>
      </c>
      <c r="U14" s="12">
        <f t="shared" si="6"/>
        <v>0</v>
      </c>
    </row>
    <row r="15" spans="1:21" x14ac:dyDescent="0.25">
      <c r="A15">
        <v>11</v>
      </c>
      <c r="B15" s="12">
        <v>72660.84</v>
      </c>
      <c r="C15" s="12">
        <v>7426</v>
      </c>
      <c r="D15" s="12">
        <v>5382.28</v>
      </c>
      <c r="E15" s="12">
        <v>4985.4399999999996</v>
      </c>
      <c r="F15" s="12">
        <v>2691.14</v>
      </c>
      <c r="G15">
        <v>35.340366476426126</v>
      </c>
      <c r="J15">
        <v>11</v>
      </c>
      <c r="K15" s="3">
        <v>72660.85000000002</v>
      </c>
      <c r="L15" s="3">
        <v>7425.95</v>
      </c>
      <c r="M15" s="3">
        <v>5382.28</v>
      </c>
      <c r="N15" s="3">
        <v>4985.4399999999996</v>
      </c>
      <c r="O15" s="3">
        <v>2691.14</v>
      </c>
      <c r="Q15" s="12">
        <f t="shared" si="2"/>
        <v>-1.0000000023865141E-2</v>
      </c>
      <c r="R15" s="12">
        <f t="shared" si="3"/>
        <v>5.0000000000181899E-2</v>
      </c>
      <c r="S15" s="12">
        <f t="shared" si="4"/>
        <v>0</v>
      </c>
      <c r="T15" s="12">
        <f t="shared" si="5"/>
        <v>0</v>
      </c>
      <c r="U15" s="12">
        <f t="shared" si="6"/>
        <v>0</v>
      </c>
    </row>
    <row r="16" spans="1:21" x14ac:dyDescent="0.25">
      <c r="A16">
        <v>12</v>
      </c>
      <c r="B16" s="12">
        <v>52192.75</v>
      </c>
      <c r="C16" s="12">
        <v>3071.5</v>
      </c>
      <c r="D16" s="12">
        <v>1799.75</v>
      </c>
      <c r="E16" s="12">
        <v>4156.53</v>
      </c>
      <c r="F16" s="12">
        <v>1799.75</v>
      </c>
      <c r="G16">
        <v>38.230500566070994</v>
      </c>
      <c r="J16">
        <v>12</v>
      </c>
      <c r="K16" s="3">
        <v>52192.739999999983</v>
      </c>
      <c r="L16" s="3">
        <v>3071.51</v>
      </c>
      <c r="M16" s="3">
        <v>1799.75</v>
      </c>
      <c r="N16" s="3">
        <v>4156.53</v>
      </c>
      <c r="O16" s="3">
        <v>1799.75</v>
      </c>
      <c r="Q16" s="12">
        <f t="shared" si="2"/>
        <v>1.0000000016589183E-2</v>
      </c>
      <c r="R16" s="12">
        <f t="shared" si="3"/>
        <v>-1.0000000000218279E-2</v>
      </c>
      <c r="S16" s="12">
        <f t="shared" si="4"/>
        <v>0</v>
      </c>
      <c r="T16" s="12">
        <f t="shared" si="5"/>
        <v>0</v>
      </c>
      <c r="U16" s="12">
        <f t="shared" si="6"/>
        <v>0</v>
      </c>
    </row>
    <row r="17" spans="1:21" x14ac:dyDescent="0.25">
      <c r="A17">
        <v>13</v>
      </c>
      <c r="B17" s="12">
        <v>183157.67</v>
      </c>
      <c r="C17" s="12">
        <v>183157.67</v>
      </c>
      <c r="D17" s="12">
        <v>183157.67</v>
      </c>
      <c r="E17" s="12">
        <v>0</v>
      </c>
      <c r="F17" s="12">
        <v>0</v>
      </c>
      <c r="G17">
        <v>0</v>
      </c>
      <c r="J17">
        <v>13</v>
      </c>
      <c r="K17" s="3">
        <v>183157.72</v>
      </c>
      <c r="L17" s="3">
        <v>183157.72</v>
      </c>
      <c r="M17" s="3">
        <v>183157.72</v>
      </c>
      <c r="N17" s="3">
        <v>0</v>
      </c>
      <c r="O17" s="3">
        <v>0</v>
      </c>
      <c r="Q17" s="12">
        <f t="shared" si="2"/>
        <v>-4.9999999988358468E-2</v>
      </c>
      <c r="R17" s="12">
        <f t="shared" si="3"/>
        <v>-4.9999999988358468E-2</v>
      </c>
      <c r="S17" s="12">
        <f t="shared" si="4"/>
        <v>-4.9999999988358468E-2</v>
      </c>
      <c r="T17" s="12">
        <f t="shared" si="5"/>
        <v>0</v>
      </c>
      <c r="U17" s="12">
        <f t="shared" si="6"/>
        <v>0</v>
      </c>
    </row>
    <row r="18" spans="1:21" x14ac:dyDescent="0.25">
      <c r="A18">
        <v>14</v>
      </c>
      <c r="B18" s="12">
        <v>96463.71</v>
      </c>
      <c r="C18" s="12">
        <v>96463.71</v>
      </c>
      <c r="D18" s="12">
        <v>96463.71</v>
      </c>
      <c r="E18" s="12">
        <v>0</v>
      </c>
      <c r="F18" s="12">
        <v>0</v>
      </c>
      <c r="G18">
        <v>0</v>
      </c>
      <c r="J18">
        <v>14</v>
      </c>
      <c r="K18" s="3">
        <v>96463.710000000021</v>
      </c>
      <c r="L18" s="3">
        <v>96463.71</v>
      </c>
      <c r="M18" s="3">
        <v>96463.710000000021</v>
      </c>
      <c r="N18" s="3">
        <v>0</v>
      </c>
      <c r="O18" s="3">
        <v>0</v>
      </c>
      <c r="Q18" s="12">
        <f t="shared" si="2"/>
        <v>0</v>
      </c>
      <c r="R18" s="12">
        <f t="shared" si="3"/>
        <v>0</v>
      </c>
      <c r="S18" s="12">
        <f t="shared" si="4"/>
        <v>0</v>
      </c>
      <c r="T18" s="12">
        <f t="shared" si="5"/>
        <v>0</v>
      </c>
      <c r="U18" s="12">
        <f t="shared" si="6"/>
        <v>0</v>
      </c>
    </row>
    <row r="19" spans="1:21" x14ac:dyDescent="0.25">
      <c r="A19">
        <v>15</v>
      </c>
      <c r="B19" s="12">
        <v>66196.800000000003</v>
      </c>
      <c r="C19" s="12">
        <v>66196.800000000003</v>
      </c>
      <c r="D19" s="12">
        <v>66196.800000000003</v>
      </c>
      <c r="E19" s="12">
        <v>0</v>
      </c>
      <c r="F19" s="12">
        <v>0</v>
      </c>
      <c r="G19">
        <v>0</v>
      </c>
      <c r="J19">
        <v>15</v>
      </c>
      <c r="K19" s="3">
        <v>66196.789999999994</v>
      </c>
      <c r="L19" s="3">
        <v>66196.789999999994</v>
      </c>
      <c r="M19" s="3">
        <v>66196.789999999994</v>
      </c>
      <c r="N19" s="3">
        <v>0</v>
      </c>
      <c r="O19" s="3">
        <v>0</v>
      </c>
      <c r="Q19" s="12">
        <f t="shared" si="2"/>
        <v>1.0000000009313226E-2</v>
      </c>
      <c r="R19" s="12">
        <f t="shared" si="3"/>
        <v>1.0000000009313226E-2</v>
      </c>
      <c r="S19" s="12">
        <f t="shared" si="4"/>
        <v>1.0000000009313226E-2</v>
      </c>
      <c r="T19" s="12">
        <f t="shared" si="5"/>
        <v>0</v>
      </c>
      <c r="U19" s="12">
        <f t="shared" si="6"/>
        <v>0</v>
      </c>
    </row>
    <row r="20" spans="1:21" x14ac:dyDescent="0.25">
      <c r="A20">
        <v>16</v>
      </c>
      <c r="B20" s="12">
        <v>93067.63</v>
      </c>
      <c r="C20" s="12">
        <v>93067.63</v>
      </c>
      <c r="D20" s="12">
        <v>93067.63</v>
      </c>
      <c r="E20" s="12">
        <v>0</v>
      </c>
      <c r="F20" s="12">
        <v>0</v>
      </c>
      <c r="G20">
        <v>0</v>
      </c>
      <c r="J20">
        <v>16</v>
      </c>
      <c r="K20" s="3">
        <v>93067.629999999976</v>
      </c>
      <c r="L20" s="3">
        <v>93067.63</v>
      </c>
      <c r="M20" s="3">
        <v>93067.629999999976</v>
      </c>
      <c r="N20" s="3">
        <v>0</v>
      </c>
      <c r="O20" s="3">
        <v>0</v>
      </c>
      <c r="Q20" s="12">
        <f t="shared" si="2"/>
        <v>0</v>
      </c>
      <c r="R20" s="12">
        <f t="shared" si="3"/>
        <v>0</v>
      </c>
      <c r="S20" s="12">
        <f t="shared" si="4"/>
        <v>0</v>
      </c>
      <c r="T20" s="12">
        <f t="shared" si="5"/>
        <v>0</v>
      </c>
      <c r="U20" s="12">
        <f t="shared" si="6"/>
        <v>0</v>
      </c>
    </row>
    <row r="21" spans="1:21" x14ac:dyDescent="0.25">
      <c r="A21">
        <v>17</v>
      </c>
      <c r="B21" s="12">
        <v>122399.67</v>
      </c>
      <c r="C21" s="12">
        <v>122399.67</v>
      </c>
      <c r="D21" s="12">
        <v>122399.67</v>
      </c>
      <c r="E21" s="12">
        <v>0</v>
      </c>
      <c r="F21" s="12">
        <v>0</v>
      </c>
      <c r="G21">
        <v>0</v>
      </c>
      <c r="J21">
        <v>17</v>
      </c>
      <c r="K21" s="3">
        <v>122399.64</v>
      </c>
      <c r="L21" s="3">
        <v>122399.64</v>
      </c>
      <c r="M21" s="3">
        <v>122399.64</v>
      </c>
      <c r="N21" s="3">
        <v>0</v>
      </c>
      <c r="O21" s="3">
        <v>0</v>
      </c>
      <c r="Q21" s="12">
        <f t="shared" si="2"/>
        <v>2.9999999998835847E-2</v>
      </c>
      <c r="R21" s="12">
        <f t="shared" si="3"/>
        <v>2.9999999998835847E-2</v>
      </c>
      <c r="S21" s="12">
        <f t="shared" si="4"/>
        <v>2.9999999998835847E-2</v>
      </c>
      <c r="T21" s="12">
        <f t="shared" si="5"/>
        <v>0</v>
      </c>
      <c r="U21" s="12">
        <f t="shared" si="6"/>
        <v>0</v>
      </c>
    </row>
    <row r="22" spans="1:21" x14ac:dyDescent="0.25">
      <c r="K22" s="1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B3B93-AFB0-44D9-AAF0-29614DA04886}">
  <sheetPr codeName="Sheet11"/>
  <dimension ref="A1:HN21"/>
  <sheetViews>
    <sheetView workbookViewId="0"/>
  </sheetViews>
  <sheetFormatPr defaultRowHeight="15" x14ac:dyDescent="0.25"/>
  <cols>
    <col min="2" max="24" width="10.85546875" bestFit="1" customWidth="1"/>
    <col min="25" max="25" width="11.85546875" bestFit="1" customWidth="1"/>
    <col min="26" max="26" width="10.85546875" bestFit="1" customWidth="1"/>
    <col min="27" max="61" width="11.85546875" bestFit="1" customWidth="1"/>
    <col min="62" max="76" width="10.85546875" bestFit="1" customWidth="1"/>
    <col min="77" max="82" width="9.85546875" bestFit="1" customWidth="1"/>
    <col min="83" max="85" width="8.28515625" bestFit="1" customWidth="1"/>
    <col min="86" max="87" width="7.28515625" bestFit="1" customWidth="1"/>
    <col min="88" max="101" width="6.28515625" bestFit="1" customWidth="1"/>
    <col min="103" max="103" width="15" bestFit="1" customWidth="1"/>
    <col min="104" max="104" width="13.5703125" bestFit="1" customWidth="1"/>
    <col min="106" max="106" width="10.28515625" bestFit="1" customWidth="1"/>
    <col min="108" max="171" width="10.85546875" bestFit="1" customWidth="1"/>
    <col min="172" max="181" width="9.85546875" bestFit="1" customWidth="1"/>
    <col min="182" max="187" width="8.28515625" bestFit="1" customWidth="1"/>
    <col min="188" max="190" width="7.28515625" bestFit="1" customWidth="1"/>
    <col min="191" max="207" width="6.28515625" bestFit="1" customWidth="1"/>
    <col min="209" max="209" width="15" bestFit="1" customWidth="1"/>
    <col min="210" max="210" width="13.5703125" bestFit="1" customWidth="1"/>
    <col min="212" max="212" width="14.28515625" customWidth="1"/>
    <col min="213" max="213" width="13.5703125" bestFit="1" customWidth="1"/>
    <col min="215" max="215" width="10.85546875" customWidth="1"/>
    <col min="216" max="216" width="11.85546875" bestFit="1" customWidth="1"/>
    <col min="218" max="218" width="14.28515625" customWidth="1"/>
    <col min="219" max="219" width="15.28515625" customWidth="1"/>
    <col min="221" max="221" width="14.28515625" customWidth="1"/>
    <col min="222" max="222" width="16.140625" customWidth="1"/>
  </cols>
  <sheetData>
    <row r="1" spans="1:222" x14ac:dyDescent="0.25">
      <c r="B1">
        <f>B4</f>
        <v>2019</v>
      </c>
      <c r="C1">
        <f t="shared" ref="C1:BA1" si="0">B1+1</f>
        <v>2020</v>
      </c>
      <c r="D1">
        <f t="shared" si="0"/>
        <v>2021</v>
      </c>
      <c r="E1">
        <f t="shared" si="0"/>
        <v>2022</v>
      </c>
      <c r="F1">
        <f t="shared" si="0"/>
        <v>2023</v>
      </c>
      <c r="G1">
        <f t="shared" si="0"/>
        <v>2024</v>
      </c>
      <c r="H1">
        <f t="shared" si="0"/>
        <v>2025</v>
      </c>
      <c r="I1">
        <f t="shared" si="0"/>
        <v>2026</v>
      </c>
      <c r="J1">
        <f t="shared" si="0"/>
        <v>2027</v>
      </c>
      <c r="K1">
        <f t="shared" si="0"/>
        <v>2028</v>
      </c>
      <c r="L1">
        <f t="shared" si="0"/>
        <v>2029</v>
      </c>
      <c r="M1">
        <f t="shared" si="0"/>
        <v>2030</v>
      </c>
      <c r="N1">
        <f t="shared" si="0"/>
        <v>2031</v>
      </c>
      <c r="O1">
        <f t="shared" si="0"/>
        <v>2032</v>
      </c>
      <c r="P1">
        <f t="shared" si="0"/>
        <v>2033</v>
      </c>
      <c r="Q1">
        <f t="shared" si="0"/>
        <v>2034</v>
      </c>
      <c r="R1">
        <f t="shared" si="0"/>
        <v>2035</v>
      </c>
      <c r="S1">
        <f t="shared" si="0"/>
        <v>2036</v>
      </c>
      <c r="T1">
        <f t="shared" si="0"/>
        <v>2037</v>
      </c>
      <c r="U1">
        <f t="shared" si="0"/>
        <v>2038</v>
      </c>
      <c r="V1">
        <f t="shared" si="0"/>
        <v>2039</v>
      </c>
      <c r="W1">
        <f t="shared" si="0"/>
        <v>2040</v>
      </c>
      <c r="X1">
        <f t="shared" si="0"/>
        <v>2041</v>
      </c>
      <c r="Y1">
        <f t="shared" si="0"/>
        <v>2042</v>
      </c>
      <c r="Z1">
        <f t="shared" si="0"/>
        <v>2043</v>
      </c>
      <c r="AA1">
        <f t="shared" si="0"/>
        <v>2044</v>
      </c>
      <c r="AB1">
        <f t="shared" si="0"/>
        <v>2045</v>
      </c>
      <c r="AC1">
        <f t="shared" si="0"/>
        <v>2046</v>
      </c>
      <c r="AD1">
        <f t="shared" si="0"/>
        <v>2047</v>
      </c>
      <c r="AE1">
        <f t="shared" si="0"/>
        <v>2048</v>
      </c>
      <c r="AF1">
        <f t="shared" si="0"/>
        <v>2049</v>
      </c>
      <c r="AG1">
        <f t="shared" si="0"/>
        <v>2050</v>
      </c>
      <c r="AH1">
        <f t="shared" si="0"/>
        <v>2051</v>
      </c>
      <c r="AI1">
        <f t="shared" si="0"/>
        <v>2052</v>
      </c>
      <c r="AJ1">
        <f t="shared" si="0"/>
        <v>2053</v>
      </c>
      <c r="AK1">
        <f t="shared" si="0"/>
        <v>2054</v>
      </c>
      <c r="AL1">
        <f t="shared" si="0"/>
        <v>2055</v>
      </c>
      <c r="AM1">
        <f t="shared" si="0"/>
        <v>2056</v>
      </c>
      <c r="AN1">
        <f t="shared" si="0"/>
        <v>2057</v>
      </c>
      <c r="AO1">
        <f t="shared" si="0"/>
        <v>2058</v>
      </c>
      <c r="AP1">
        <f t="shared" si="0"/>
        <v>2059</v>
      </c>
      <c r="AQ1">
        <f t="shared" si="0"/>
        <v>2060</v>
      </c>
      <c r="AR1">
        <f t="shared" si="0"/>
        <v>2061</v>
      </c>
      <c r="AS1">
        <f t="shared" si="0"/>
        <v>2062</v>
      </c>
      <c r="AT1">
        <f t="shared" si="0"/>
        <v>2063</v>
      </c>
      <c r="AU1">
        <f t="shared" si="0"/>
        <v>2064</v>
      </c>
      <c r="AV1">
        <f t="shared" si="0"/>
        <v>2065</v>
      </c>
      <c r="AW1">
        <f t="shared" si="0"/>
        <v>2066</v>
      </c>
      <c r="AX1">
        <f t="shared" si="0"/>
        <v>2067</v>
      </c>
      <c r="AY1">
        <f t="shared" si="0"/>
        <v>2068</v>
      </c>
      <c r="AZ1">
        <f t="shared" si="0"/>
        <v>2069</v>
      </c>
      <c r="BA1">
        <f t="shared" si="0"/>
        <v>2070</v>
      </c>
      <c r="BB1">
        <f t="shared" ref="BB1:CW1" si="1">BA1+1</f>
        <v>2071</v>
      </c>
      <c r="BC1">
        <f t="shared" si="1"/>
        <v>2072</v>
      </c>
      <c r="BD1">
        <f t="shared" si="1"/>
        <v>2073</v>
      </c>
      <c r="BE1">
        <f t="shared" si="1"/>
        <v>2074</v>
      </c>
      <c r="BF1">
        <f t="shared" si="1"/>
        <v>2075</v>
      </c>
      <c r="BG1">
        <f t="shared" si="1"/>
        <v>2076</v>
      </c>
      <c r="BH1">
        <f t="shared" si="1"/>
        <v>2077</v>
      </c>
      <c r="BI1">
        <f t="shared" si="1"/>
        <v>2078</v>
      </c>
      <c r="BJ1">
        <f t="shared" si="1"/>
        <v>2079</v>
      </c>
      <c r="BK1">
        <f t="shared" si="1"/>
        <v>2080</v>
      </c>
      <c r="BL1">
        <f t="shared" si="1"/>
        <v>2081</v>
      </c>
      <c r="BM1">
        <f t="shared" si="1"/>
        <v>2082</v>
      </c>
      <c r="BN1">
        <f t="shared" si="1"/>
        <v>2083</v>
      </c>
      <c r="BO1">
        <f t="shared" si="1"/>
        <v>2084</v>
      </c>
      <c r="BP1">
        <f t="shared" si="1"/>
        <v>2085</v>
      </c>
      <c r="BQ1">
        <f t="shared" si="1"/>
        <v>2086</v>
      </c>
      <c r="BR1">
        <f t="shared" si="1"/>
        <v>2087</v>
      </c>
      <c r="BS1">
        <f t="shared" si="1"/>
        <v>2088</v>
      </c>
      <c r="BT1">
        <f t="shared" si="1"/>
        <v>2089</v>
      </c>
      <c r="BU1">
        <f t="shared" si="1"/>
        <v>2090</v>
      </c>
      <c r="BV1">
        <f t="shared" si="1"/>
        <v>2091</v>
      </c>
      <c r="BW1">
        <f t="shared" si="1"/>
        <v>2092</v>
      </c>
      <c r="BX1">
        <f t="shared" si="1"/>
        <v>2093</v>
      </c>
      <c r="BY1">
        <f t="shared" si="1"/>
        <v>2094</v>
      </c>
      <c r="BZ1">
        <f t="shared" si="1"/>
        <v>2095</v>
      </c>
      <c r="CA1">
        <f t="shared" si="1"/>
        <v>2096</v>
      </c>
      <c r="CB1">
        <f t="shared" si="1"/>
        <v>2097</v>
      </c>
      <c r="CC1">
        <f t="shared" si="1"/>
        <v>2098</v>
      </c>
      <c r="CD1">
        <f t="shared" si="1"/>
        <v>2099</v>
      </c>
      <c r="CE1">
        <f t="shared" si="1"/>
        <v>2100</v>
      </c>
      <c r="CF1">
        <f t="shared" si="1"/>
        <v>2101</v>
      </c>
      <c r="CG1">
        <f t="shared" si="1"/>
        <v>2102</v>
      </c>
      <c r="CH1">
        <f t="shared" si="1"/>
        <v>2103</v>
      </c>
      <c r="CI1">
        <f t="shared" si="1"/>
        <v>2104</v>
      </c>
      <c r="CJ1">
        <f t="shared" si="1"/>
        <v>2105</v>
      </c>
      <c r="CK1">
        <f t="shared" si="1"/>
        <v>2106</v>
      </c>
      <c r="CL1">
        <f t="shared" si="1"/>
        <v>2107</v>
      </c>
      <c r="CM1">
        <f t="shared" si="1"/>
        <v>2108</v>
      </c>
      <c r="CN1">
        <f t="shared" si="1"/>
        <v>2109</v>
      </c>
      <c r="CO1">
        <f t="shared" si="1"/>
        <v>2110</v>
      </c>
      <c r="CP1">
        <f t="shared" si="1"/>
        <v>2111</v>
      </c>
      <c r="CQ1">
        <f t="shared" si="1"/>
        <v>2112</v>
      </c>
      <c r="CR1">
        <f t="shared" si="1"/>
        <v>2113</v>
      </c>
      <c r="CS1">
        <f t="shared" si="1"/>
        <v>2114</v>
      </c>
      <c r="CT1">
        <f t="shared" si="1"/>
        <v>2115</v>
      </c>
      <c r="CU1">
        <f t="shared" si="1"/>
        <v>2116</v>
      </c>
      <c r="CV1">
        <f t="shared" si="1"/>
        <v>2117</v>
      </c>
      <c r="CW1">
        <f t="shared" si="1"/>
        <v>2118</v>
      </c>
      <c r="CY1" t="s">
        <v>82</v>
      </c>
      <c r="CZ1" t="s">
        <v>21</v>
      </c>
      <c r="DB1" t="s">
        <v>169</v>
      </c>
      <c r="DD1">
        <f>B1</f>
        <v>2019</v>
      </c>
      <c r="DE1">
        <f t="shared" ref="DE1" si="2">DD1+1</f>
        <v>2020</v>
      </c>
      <c r="DF1">
        <f t="shared" ref="DF1" si="3">DE1+1</f>
        <v>2021</v>
      </c>
      <c r="DG1">
        <f t="shared" ref="DG1" si="4">DF1+1</f>
        <v>2022</v>
      </c>
      <c r="DH1">
        <f t="shared" ref="DH1" si="5">DG1+1</f>
        <v>2023</v>
      </c>
      <c r="DI1">
        <f t="shared" ref="DI1" si="6">DH1+1</f>
        <v>2024</v>
      </c>
      <c r="DJ1">
        <f t="shared" ref="DJ1" si="7">DI1+1</f>
        <v>2025</v>
      </c>
      <c r="DK1">
        <f t="shared" ref="DK1" si="8">DJ1+1</f>
        <v>2026</v>
      </c>
      <c r="DL1">
        <f t="shared" ref="DL1" si="9">DK1+1</f>
        <v>2027</v>
      </c>
      <c r="DM1">
        <f t="shared" ref="DM1" si="10">DL1+1</f>
        <v>2028</v>
      </c>
      <c r="DN1">
        <f t="shared" ref="DN1" si="11">DM1+1</f>
        <v>2029</v>
      </c>
      <c r="DO1">
        <f t="shared" ref="DO1" si="12">DN1+1</f>
        <v>2030</v>
      </c>
      <c r="DP1">
        <f t="shared" ref="DP1" si="13">DO1+1</f>
        <v>2031</v>
      </c>
      <c r="DQ1">
        <f t="shared" ref="DQ1" si="14">DP1+1</f>
        <v>2032</v>
      </c>
      <c r="DR1">
        <f t="shared" ref="DR1" si="15">DQ1+1</f>
        <v>2033</v>
      </c>
      <c r="DS1">
        <f t="shared" ref="DS1" si="16">DR1+1</f>
        <v>2034</v>
      </c>
      <c r="DT1">
        <f t="shared" ref="DT1" si="17">DS1+1</f>
        <v>2035</v>
      </c>
      <c r="DU1">
        <f t="shared" ref="DU1" si="18">DT1+1</f>
        <v>2036</v>
      </c>
      <c r="DV1">
        <f t="shared" ref="DV1" si="19">DU1+1</f>
        <v>2037</v>
      </c>
      <c r="DW1">
        <f t="shared" ref="DW1" si="20">DV1+1</f>
        <v>2038</v>
      </c>
      <c r="DX1">
        <f t="shared" ref="DX1" si="21">DW1+1</f>
        <v>2039</v>
      </c>
      <c r="DY1">
        <f t="shared" ref="DY1" si="22">DX1+1</f>
        <v>2040</v>
      </c>
      <c r="DZ1">
        <f t="shared" ref="DZ1" si="23">DY1+1</f>
        <v>2041</v>
      </c>
      <c r="EA1">
        <f t="shared" ref="EA1" si="24">DZ1+1</f>
        <v>2042</v>
      </c>
      <c r="EB1">
        <f t="shared" ref="EB1" si="25">EA1+1</f>
        <v>2043</v>
      </c>
      <c r="EC1">
        <f t="shared" ref="EC1" si="26">EB1+1</f>
        <v>2044</v>
      </c>
      <c r="ED1">
        <f t="shared" ref="ED1" si="27">EC1+1</f>
        <v>2045</v>
      </c>
      <c r="EE1">
        <f t="shared" ref="EE1" si="28">ED1+1</f>
        <v>2046</v>
      </c>
      <c r="EF1">
        <f t="shared" ref="EF1" si="29">EE1+1</f>
        <v>2047</v>
      </c>
      <c r="EG1">
        <f t="shared" ref="EG1" si="30">EF1+1</f>
        <v>2048</v>
      </c>
      <c r="EH1">
        <f t="shared" ref="EH1" si="31">EG1+1</f>
        <v>2049</v>
      </c>
      <c r="EI1">
        <f t="shared" ref="EI1" si="32">EH1+1</f>
        <v>2050</v>
      </c>
      <c r="EJ1">
        <f t="shared" ref="EJ1" si="33">EI1+1</f>
        <v>2051</v>
      </c>
      <c r="EK1">
        <f t="shared" ref="EK1" si="34">EJ1+1</f>
        <v>2052</v>
      </c>
      <c r="EL1">
        <f t="shared" ref="EL1" si="35">EK1+1</f>
        <v>2053</v>
      </c>
      <c r="EM1">
        <f t="shared" ref="EM1" si="36">EL1+1</f>
        <v>2054</v>
      </c>
      <c r="EN1">
        <f t="shared" ref="EN1" si="37">EM1+1</f>
        <v>2055</v>
      </c>
      <c r="EO1">
        <f t="shared" ref="EO1" si="38">EN1+1</f>
        <v>2056</v>
      </c>
      <c r="EP1">
        <f t="shared" ref="EP1" si="39">EO1+1</f>
        <v>2057</v>
      </c>
      <c r="EQ1">
        <f t="shared" ref="EQ1" si="40">EP1+1</f>
        <v>2058</v>
      </c>
      <c r="ER1">
        <f t="shared" ref="ER1" si="41">EQ1+1</f>
        <v>2059</v>
      </c>
      <c r="ES1">
        <f t="shared" ref="ES1" si="42">ER1+1</f>
        <v>2060</v>
      </c>
      <c r="ET1">
        <f t="shared" ref="ET1" si="43">ES1+1</f>
        <v>2061</v>
      </c>
      <c r="EU1">
        <f t="shared" ref="EU1" si="44">ET1+1</f>
        <v>2062</v>
      </c>
      <c r="EV1">
        <f t="shared" ref="EV1" si="45">EU1+1</f>
        <v>2063</v>
      </c>
      <c r="EW1">
        <f t="shared" ref="EW1" si="46">EV1+1</f>
        <v>2064</v>
      </c>
      <c r="EX1">
        <f t="shared" ref="EX1" si="47">EW1+1</f>
        <v>2065</v>
      </c>
      <c r="EY1">
        <f t="shared" ref="EY1" si="48">EX1+1</f>
        <v>2066</v>
      </c>
      <c r="EZ1">
        <f t="shared" ref="EZ1" si="49">EY1+1</f>
        <v>2067</v>
      </c>
      <c r="FA1">
        <f t="shared" ref="FA1" si="50">EZ1+1</f>
        <v>2068</v>
      </c>
      <c r="FB1">
        <f t="shared" ref="FB1" si="51">FA1+1</f>
        <v>2069</v>
      </c>
      <c r="FC1">
        <f t="shared" ref="FC1" si="52">FB1+1</f>
        <v>2070</v>
      </c>
      <c r="FD1">
        <f t="shared" ref="FD1" si="53">FC1+1</f>
        <v>2071</v>
      </c>
      <c r="FE1">
        <f t="shared" ref="FE1" si="54">FD1+1</f>
        <v>2072</v>
      </c>
      <c r="FF1">
        <f t="shared" ref="FF1" si="55">FE1+1</f>
        <v>2073</v>
      </c>
      <c r="FG1">
        <f t="shared" ref="FG1" si="56">FF1+1</f>
        <v>2074</v>
      </c>
      <c r="FH1">
        <f t="shared" ref="FH1" si="57">FG1+1</f>
        <v>2075</v>
      </c>
      <c r="FI1">
        <f t="shared" ref="FI1" si="58">FH1+1</f>
        <v>2076</v>
      </c>
      <c r="FJ1">
        <f t="shared" ref="FJ1" si="59">FI1+1</f>
        <v>2077</v>
      </c>
      <c r="FK1">
        <f t="shared" ref="FK1" si="60">FJ1+1</f>
        <v>2078</v>
      </c>
      <c r="FL1">
        <f t="shared" ref="FL1" si="61">FK1+1</f>
        <v>2079</v>
      </c>
      <c r="FM1">
        <f t="shared" ref="FM1" si="62">FL1+1</f>
        <v>2080</v>
      </c>
      <c r="FN1">
        <f t="shared" ref="FN1" si="63">FM1+1</f>
        <v>2081</v>
      </c>
      <c r="FO1">
        <f t="shared" ref="FO1" si="64">FN1+1</f>
        <v>2082</v>
      </c>
      <c r="FP1">
        <f t="shared" ref="FP1" si="65">FO1+1</f>
        <v>2083</v>
      </c>
      <c r="FQ1">
        <f t="shared" ref="FQ1" si="66">FP1+1</f>
        <v>2084</v>
      </c>
      <c r="FR1">
        <f t="shared" ref="FR1" si="67">FQ1+1</f>
        <v>2085</v>
      </c>
      <c r="FS1">
        <f t="shared" ref="FS1" si="68">FR1+1</f>
        <v>2086</v>
      </c>
      <c r="FT1">
        <f t="shared" ref="FT1" si="69">FS1+1</f>
        <v>2087</v>
      </c>
      <c r="FU1">
        <f t="shared" ref="FU1" si="70">FT1+1</f>
        <v>2088</v>
      </c>
      <c r="FV1">
        <f t="shared" ref="FV1" si="71">FU1+1</f>
        <v>2089</v>
      </c>
      <c r="FW1">
        <f t="shared" ref="FW1" si="72">FV1+1</f>
        <v>2090</v>
      </c>
      <c r="FX1">
        <f t="shared" ref="FX1" si="73">FW1+1</f>
        <v>2091</v>
      </c>
      <c r="FY1">
        <f t="shared" ref="FY1" si="74">FX1+1</f>
        <v>2092</v>
      </c>
      <c r="FZ1">
        <f t="shared" ref="FZ1" si="75">FY1+1</f>
        <v>2093</v>
      </c>
      <c r="GA1">
        <f t="shared" ref="GA1" si="76">FZ1+1</f>
        <v>2094</v>
      </c>
      <c r="GB1">
        <f t="shared" ref="GB1" si="77">GA1+1</f>
        <v>2095</v>
      </c>
      <c r="GC1">
        <f t="shared" ref="GC1" si="78">GB1+1</f>
        <v>2096</v>
      </c>
      <c r="GD1">
        <f t="shared" ref="GD1" si="79">GC1+1</f>
        <v>2097</v>
      </c>
      <c r="GE1">
        <f t="shared" ref="GE1" si="80">GD1+1</f>
        <v>2098</v>
      </c>
      <c r="GF1">
        <f t="shared" ref="GF1" si="81">GE1+1</f>
        <v>2099</v>
      </c>
      <c r="GG1">
        <f t="shared" ref="GG1" si="82">GF1+1</f>
        <v>2100</v>
      </c>
      <c r="GH1">
        <f t="shared" ref="GH1" si="83">GG1+1</f>
        <v>2101</v>
      </c>
      <c r="GI1">
        <f t="shared" ref="GI1" si="84">GH1+1</f>
        <v>2102</v>
      </c>
      <c r="GJ1">
        <f t="shared" ref="GJ1" si="85">GI1+1</f>
        <v>2103</v>
      </c>
      <c r="GK1">
        <f t="shared" ref="GK1" si="86">GJ1+1</f>
        <v>2104</v>
      </c>
      <c r="GL1">
        <f t="shared" ref="GL1" si="87">GK1+1</f>
        <v>2105</v>
      </c>
      <c r="GM1">
        <f t="shared" ref="GM1" si="88">GL1+1</f>
        <v>2106</v>
      </c>
      <c r="GN1">
        <f t="shared" ref="GN1" si="89">GM1+1</f>
        <v>2107</v>
      </c>
      <c r="GO1">
        <f t="shared" ref="GO1" si="90">GN1+1</f>
        <v>2108</v>
      </c>
      <c r="GP1">
        <f t="shared" ref="GP1" si="91">GO1+1</f>
        <v>2109</v>
      </c>
      <c r="GQ1">
        <f t="shared" ref="GQ1" si="92">GP1+1</f>
        <v>2110</v>
      </c>
      <c r="GR1">
        <f t="shared" ref="GR1" si="93">GQ1+1</f>
        <v>2111</v>
      </c>
      <c r="GS1">
        <f t="shared" ref="GS1" si="94">GR1+1</f>
        <v>2112</v>
      </c>
      <c r="GT1">
        <f t="shared" ref="GT1" si="95">GS1+1</f>
        <v>2113</v>
      </c>
      <c r="GU1">
        <f t="shared" ref="GU1" si="96">GT1+1</f>
        <v>2114</v>
      </c>
      <c r="GV1">
        <f t="shared" ref="GV1" si="97">GU1+1</f>
        <v>2115</v>
      </c>
      <c r="GW1">
        <f t="shared" ref="GW1" si="98">GV1+1</f>
        <v>2116</v>
      </c>
      <c r="GX1">
        <f t="shared" ref="GX1" si="99">GW1+1</f>
        <v>2117</v>
      </c>
      <c r="GY1">
        <f t="shared" ref="GY1" si="100">GX1+1</f>
        <v>2118</v>
      </c>
      <c r="HA1" t="s">
        <v>82</v>
      </c>
      <c r="HB1" t="s">
        <v>66</v>
      </c>
      <c r="HD1" s="27" t="s">
        <v>187</v>
      </c>
      <c r="HE1" s="27" t="s">
        <v>188</v>
      </c>
      <c r="HG1" s="27" t="s">
        <v>187</v>
      </c>
      <c r="HH1" s="27" t="s">
        <v>188</v>
      </c>
      <c r="HJ1" s="27" t="s">
        <v>187</v>
      </c>
      <c r="HK1" s="27" t="s">
        <v>188</v>
      </c>
      <c r="HM1" s="27" t="s">
        <v>187</v>
      </c>
      <c r="HN1" s="27" t="s">
        <v>188</v>
      </c>
    </row>
    <row r="2" spans="1:222" x14ac:dyDescent="0.25">
      <c r="A2" t="s">
        <v>61</v>
      </c>
      <c r="B2" s="17">
        <f>SUM(B5:B1048576)</f>
        <v>32971</v>
      </c>
      <c r="C2" s="17">
        <f>SUM(C5:C1048576)</f>
        <v>28950.37</v>
      </c>
      <c r="D2" s="17">
        <f t="shared" ref="D2:BA2" si="101">SUM(D5:D1048576)</f>
        <v>31130.28</v>
      </c>
      <c r="E2" s="17">
        <f t="shared" si="101"/>
        <v>34006.219999999994</v>
      </c>
      <c r="F2" s="17">
        <f t="shared" si="101"/>
        <v>37386.299999999996</v>
      </c>
      <c r="G2" s="17">
        <f t="shared" si="101"/>
        <v>34139.47</v>
      </c>
      <c r="H2" s="17">
        <f t="shared" si="101"/>
        <v>38034.239999999998</v>
      </c>
      <c r="I2" s="17">
        <f t="shared" si="101"/>
        <v>35220.57</v>
      </c>
      <c r="J2" s="17">
        <f t="shared" si="101"/>
        <v>37953.379999999997</v>
      </c>
      <c r="K2" s="17">
        <f t="shared" si="101"/>
        <v>41115.340000000004</v>
      </c>
      <c r="L2" s="17">
        <f t="shared" si="101"/>
        <v>44804.36</v>
      </c>
      <c r="M2" s="17">
        <f t="shared" si="101"/>
        <v>49642.1</v>
      </c>
      <c r="N2" s="17">
        <f t="shared" si="101"/>
        <v>54351.829999999994</v>
      </c>
      <c r="O2" s="17">
        <f t="shared" si="101"/>
        <v>50294.630000000005</v>
      </c>
      <c r="P2" s="17">
        <f t="shared" si="101"/>
        <v>53605.450000000004</v>
      </c>
      <c r="Q2" s="17">
        <f t="shared" si="101"/>
        <v>57744.279999999992</v>
      </c>
      <c r="R2" s="17">
        <f t="shared" si="101"/>
        <v>62648.310000000012</v>
      </c>
      <c r="S2" s="17">
        <f t="shared" si="101"/>
        <v>68469.100000000006</v>
      </c>
      <c r="T2" s="17">
        <f t="shared" si="101"/>
        <v>74410.98000000001</v>
      </c>
      <c r="U2" s="17">
        <f t="shared" si="101"/>
        <v>69585.819999999992</v>
      </c>
      <c r="V2" s="17">
        <f t="shared" si="101"/>
        <v>74544.100000000006</v>
      </c>
      <c r="W2" s="17">
        <f t="shared" si="101"/>
        <v>80711.509999999995</v>
      </c>
      <c r="X2" s="17">
        <f t="shared" si="101"/>
        <v>88156.6</v>
      </c>
      <c r="Y2" s="17">
        <f t="shared" si="101"/>
        <v>98222.57</v>
      </c>
      <c r="Z2" s="17">
        <f t="shared" si="101"/>
        <v>107795.79000000001</v>
      </c>
      <c r="AA2" s="17">
        <f t="shared" si="101"/>
        <v>94521.949999999983</v>
      </c>
      <c r="AB2" s="17">
        <f t="shared" si="101"/>
        <v>102066.67000000001</v>
      </c>
      <c r="AC2" s="17">
        <f t="shared" si="101"/>
        <v>110916.98</v>
      </c>
      <c r="AD2" s="17">
        <f t="shared" si="101"/>
        <v>120446.95000000001</v>
      </c>
      <c r="AE2" s="17">
        <f t="shared" si="101"/>
        <v>115825.09</v>
      </c>
      <c r="AF2" s="17">
        <f t="shared" si="101"/>
        <v>125154.58000000002</v>
      </c>
      <c r="AG2" s="17">
        <f t="shared" si="101"/>
        <v>125669.91999999998</v>
      </c>
      <c r="AH2" s="17">
        <f t="shared" si="101"/>
        <v>123797.47</v>
      </c>
      <c r="AI2" s="17">
        <f t="shared" si="101"/>
        <v>132027</v>
      </c>
      <c r="AJ2" s="17">
        <f t="shared" si="101"/>
        <v>139967.27999999997</v>
      </c>
      <c r="AK2" s="17">
        <f t="shared" si="101"/>
        <v>136361.63999999998</v>
      </c>
      <c r="AL2" s="17">
        <f t="shared" si="101"/>
        <v>143318.78000000003</v>
      </c>
      <c r="AM2" s="17">
        <f t="shared" si="101"/>
        <v>138276.33000000002</v>
      </c>
      <c r="AN2" s="17">
        <f t="shared" si="101"/>
        <v>144099.34000000003</v>
      </c>
      <c r="AO2" s="17">
        <f t="shared" si="101"/>
        <v>149373.08999999997</v>
      </c>
      <c r="AP2" s="17">
        <f t="shared" si="101"/>
        <v>143915.85999999996</v>
      </c>
      <c r="AQ2" s="17">
        <f t="shared" si="101"/>
        <v>148101.16</v>
      </c>
      <c r="AR2" s="17">
        <f t="shared" si="101"/>
        <v>151456.80999999997</v>
      </c>
      <c r="AS2" s="17">
        <f t="shared" si="101"/>
        <v>145216.83000000002</v>
      </c>
      <c r="AT2" s="17">
        <f t="shared" si="101"/>
        <v>146450.49</v>
      </c>
      <c r="AU2" s="17">
        <f t="shared" si="101"/>
        <v>147225.21</v>
      </c>
      <c r="AV2" s="17">
        <f t="shared" si="101"/>
        <v>147741.47</v>
      </c>
      <c r="AW2" s="17">
        <f t="shared" si="101"/>
        <v>147781.01</v>
      </c>
      <c r="AX2" s="17">
        <f t="shared" si="101"/>
        <v>147442.66999999998</v>
      </c>
      <c r="AY2" s="17">
        <f t="shared" si="101"/>
        <v>146633.19</v>
      </c>
      <c r="AZ2" s="17">
        <f t="shared" si="101"/>
        <v>145267.87</v>
      </c>
      <c r="BA2" s="17">
        <f t="shared" si="101"/>
        <v>143172.70000000001</v>
      </c>
      <c r="BB2" s="17">
        <f t="shared" ref="BB2:CW2" si="102">SUM(BB5:BB1048576)</f>
        <v>140454.5</v>
      </c>
      <c r="BC2" s="17">
        <f t="shared" si="102"/>
        <v>137148.92000000001</v>
      </c>
      <c r="BD2" s="17">
        <f t="shared" si="102"/>
        <v>133225.35999999999</v>
      </c>
      <c r="BE2" s="17">
        <f t="shared" si="102"/>
        <v>128653.84000000001</v>
      </c>
      <c r="BF2" s="17">
        <f t="shared" si="102"/>
        <v>123414.93999999999</v>
      </c>
      <c r="BG2" s="17">
        <f t="shared" si="102"/>
        <v>117582.76000000001</v>
      </c>
      <c r="BH2" s="17">
        <f t="shared" si="102"/>
        <v>111239.73999999999</v>
      </c>
      <c r="BI2" s="17">
        <f t="shared" si="102"/>
        <v>104571.43</v>
      </c>
      <c r="BJ2" s="17">
        <f t="shared" si="102"/>
        <v>97622.689999999988</v>
      </c>
      <c r="BK2" s="17">
        <f t="shared" si="102"/>
        <v>90463.290000000008</v>
      </c>
      <c r="BL2" s="17">
        <f t="shared" si="102"/>
        <v>83169.83</v>
      </c>
      <c r="BM2" s="17">
        <f t="shared" si="102"/>
        <v>75906.509999999995</v>
      </c>
      <c r="BN2" s="17">
        <f t="shared" si="102"/>
        <v>68687.77</v>
      </c>
      <c r="BO2" s="17">
        <f t="shared" si="102"/>
        <v>61607.86</v>
      </c>
      <c r="BP2" s="17">
        <f t="shared" si="102"/>
        <v>54699.850000000006</v>
      </c>
      <c r="BQ2" s="17">
        <f t="shared" si="102"/>
        <v>48023.44</v>
      </c>
      <c r="BR2" s="17">
        <f t="shared" si="102"/>
        <v>41577.97</v>
      </c>
      <c r="BS2" s="17">
        <f t="shared" si="102"/>
        <v>35467.31</v>
      </c>
      <c r="BT2" s="17">
        <f t="shared" si="102"/>
        <v>29743.909999999996</v>
      </c>
      <c r="BU2" s="17">
        <f t="shared" si="102"/>
        <v>24484.18</v>
      </c>
      <c r="BV2" s="17">
        <f t="shared" si="102"/>
        <v>19721.89</v>
      </c>
      <c r="BW2" s="17">
        <f t="shared" si="102"/>
        <v>15497.25</v>
      </c>
      <c r="BX2" s="17">
        <f t="shared" si="102"/>
        <v>11855.93</v>
      </c>
      <c r="BY2" s="17">
        <f t="shared" si="102"/>
        <v>8810.74</v>
      </c>
      <c r="BZ2" s="17">
        <f t="shared" si="102"/>
        <v>6312.63</v>
      </c>
      <c r="CA2" s="17">
        <f t="shared" si="102"/>
        <v>4367.17</v>
      </c>
      <c r="CB2" s="17">
        <f t="shared" si="102"/>
        <v>2912.21</v>
      </c>
      <c r="CC2" s="17">
        <f t="shared" si="102"/>
        <v>1865.04</v>
      </c>
      <c r="CD2" s="17">
        <f t="shared" si="102"/>
        <v>1124.6500000000001</v>
      </c>
      <c r="CE2" s="17">
        <f t="shared" si="102"/>
        <v>637.76</v>
      </c>
      <c r="CF2" s="17">
        <f t="shared" si="102"/>
        <v>332.12</v>
      </c>
      <c r="CG2" s="17">
        <f t="shared" si="102"/>
        <v>154.51999999999998</v>
      </c>
      <c r="CH2" s="17">
        <f t="shared" si="102"/>
        <v>63.120000000000005</v>
      </c>
      <c r="CI2" s="17">
        <f t="shared" si="102"/>
        <v>22.4</v>
      </c>
      <c r="CJ2" s="17">
        <f t="shared" si="102"/>
        <v>6.58</v>
      </c>
      <c r="CK2" s="17">
        <f t="shared" si="102"/>
        <v>1.51</v>
      </c>
      <c r="CL2" s="17">
        <f t="shared" si="102"/>
        <v>0.22</v>
      </c>
      <c r="CM2" s="17">
        <f t="shared" si="102"/>
        <v>0</v>
      </c>
      <c r="CN2" s="17">
        <f t="shared" si="102"/>
        <v>0</v>
      </c>
      <c r="CO2" s="17">
        <f t="shared" si="102"/>
        <v>0</v>
      </c>
      <c r="CP2" s="17">
        <f t="shared" si="102"/>
        <v>0</v>
      </c>
      <c r="CQ2" s="17">
        <f t="shared" si="102"/>
        <v>0</v>
      </c>
      <c r="CR2" s="17">
        <f t="shared" si="102"/>
        <v>0</v>
      </c>
      <c r="CS2" s="17">
        <f t="shared" si="102"/>
        <v>0</v>
      </c>
      <c r="CT2" s="17">
        <f t="shared" si="102"/>
        <v>0</v>
      </c>
      <c r="CU2" s="17">
        <f t="shared" si="102"/>
        <v>0</v>
      </c>
      <c r="CV2" s="17">
        <f t="shared" si="102"/>
        <v>0</v>
      </c>
      <c r="CW2" s="17">
        <f t="shared" si="102"/>
        <v>0</v>
      </c>
      <c r="CY2" s="3">
        <f>NPV(Assumptions!$C$9, B2:CW2)*(1+Assumptions!$C$9)</f>
        <v>1925674.607288514</v>
      </c>
      <c r="CZ2" s="12">
        <f>'Present Values'!B2</f>
        <v>1925674.6</v>
      </c>
      <c r="DB2" t="s">
        <v>170</v>
      </c>
      <c r="DC2" t="s">
        <v>61</v>
      </c>
      <c r="DD2" s="17">
        <f>SUM(DD5:DD1048576)</f>
        <v>32971</v>
      </c>
      <c r="DE2" s="17">
        <f>SUM(DE5:DE1048576)</f>
        <v>28950.37</v>
      </c>
      <c r="DF2" s="17">
        <f t="shared" ref="DF2:FQ2" si="103">SUM(DF5:DF1048576)</f>
        <v>31130.28</v>
      </c>
      <c r="DG2" s="17">
        <f t="shared" si="103"/>
        <v>34006.219999999994</v>
      </c>
      <c r="DH2" s="17">
        <f t="shared" si="103"/>
        <v>37386.299999999996</v>
      </c>
      <c r="DI2" s="17">
        <f t="shared" si="103"/>
        <v>34090.51</v>
      </c>
      <c r="DJ2" s="17">
        <f t="shared" si="103"/>
        <v>37935.440000000002</v>
      </c>
      <c r="DK2" s="17">
        <f t="shared" si="103"/>
        <v>35053.590000000004</v>
      </c>
      <c r="DL2" s="17">
        <f t="shared" si="103"/>
        <v>37720.01</v>
      </c>
      <c r="DM2" s="17">
        <f t="shared" si="103"/>
        <v>40780.130000000005</v>
      </c>
      <c r="DN2" s="17">
        <f t="shared" si="103"/>
        <v>44301.869999999995</v>
      </c>
      <c r="DO2" s="17">
        <f t="shared" si="103"/>
        <v>48755.310000000005</v>
      </c>
      <c r="DP2" s="17">
        <f t="shared" si="103"/>
        <v>53021.919999999998</v>
      </c>
      <c r="DQ2" s="17">
        <f t="shared" si="103"/>
        <v>48398.489999999991</v>
      </c>
      <c r="DR2" s="17">
        <f t="shared" si="103"/>
        <v>51089.89</v>
      </c>
      <c r="DS2" s="17">
        <f t="shared" si="103"/>
        <v>54096.259999999995</v>
      </c>
      <c r="DT2" s="17">
        <f t="shared" si="103"/>
        <v>57451.130000000005</v>
      </c>
      <c r="DU2" s="17">
        <f t="shared" si="103"/>
        <v>61281.74</v>
      </c>
      <c r="DV2" s="17">
        <f t="shared" si="103"/>
        <v>64919.85</v>
      </c>
      <c r="DW2" s="17">
        <f t="shared" si="103"/>
        <v>60616.83</v>
      </c>
      <c r="DX2" s="17">
        <f t="shared" si="103"/>
        <v>62958.05</v>
      </c>
      <c r="DY2" s="17">
        <f t="shared" si="103"/>
        <v>65465.600000000006</v>
      </c>
      <c r="DZ2" s="17">
        <f t="shared" si="103"/>
        <v>68266.490000000005</v>
      </c>
      <c r="EA2" s="17">
        <f t="shared" si="103"/>
        <v>71845.11</v>
      </c>
      <c r="EB2" s="17">
        <f t="shared" si="103"/>
        <v>75133.389999999985</v>
      </c>
      <c r="EC2" s="17">
        <f t="shared" si="103"/>
        <v>68717.22</v>
      </c>
      <c r="ED2" s="17">
        <f t="shared" si="103"/>
        <v>70512.010000000009</v>
      </c>
      <c r="EE2" s="17">
        <f t="shared" si="103"/>
        <v>72517.819999999992</v>
      </c>
      <c r="EF2" s="17">
        <f t="shared" si="103"/>
        <v>74162.479999999981</v>
      </c>
      <c r="EG2" s="17">
        <f t="shared" si="103"/>
        <v>68306.98</v>
      </c>
      <c r="EH2" s="17">
        <f t="shared" si="103"/>
        <v>68630.73</v>
      </c>
      <c r="EI2" s="17">
        <f t="shared" si="103"/>
        <v>68119.819999999992</v>
      </c>
      <c r="EJ2" s="17">
        <f t="shared" si="103"/>
        <v>66866.069999999992</v>
      </c>
      <c r="EK2" s="17">
        <f t="shared" si="103"/>
        <v>66556.02</v>
      </c>
      <c r="EL2" s="17">
        <f t="shared" si="103"/>
        <v>66013.16</v>
      </c>
      <c r="EM2" s="17">
        <f t="shared" si="103"/>
        <v>63407.05000000001</v>
      </c>
      <c r="EN2" s="17">
        <f t="shared" si="103"/>
        <v>62433.19</v>
      </c>
      <c r="EO2" s="17">
        <f t="shared" si="103"/>
        <v>59850.259999999995</v>
      </c>
      <c r="EP2" s="17">
        <f t="shared" si="103"/>
        <v>58482.26</v>
      </c>
      <c r="EQ2" s="17">
        <f t="shared" si="103"/>
        <v>56964.68</v>
      </c>
      <c r="ER2" s="17">
        <f t="shared" si="103"/>
        <v>54630.19</v>
      </c>
      <c r="ES2" s="17">
        <f t="shared" si="103"/>
        <v>52990.18</v>
      </c>
      <c r="ET2" s="17">
        <f t="shared" si="103"/>
        <v>51313.55</v>
      </c>
      <c r="EU2" s="17">
        <f t="shared" si="103"/>
        <v>49344.07</v>
      </c>
      <c r="EV2" s="17">
        <f t="shared" si="103"/>
        <v>47622.719999999987</v>
      </c>
      <c r="EW2" s="17">
        <f t="shared" si="103"/>
        <v>45910.34</v>
      </c>
      <c r="EX2" s="17">
        <f t="shared" si="103"/>
        <v>44219.5</v>
      </c>
      <c r="EY2" s="17">
        <f t="shared" si="103"/>
        <v>42546.399999999994</v>
      </c>
      <c r="EZ2" s="17">
        <f t="shared" si="103"/>
        <v>40859.199999999997</v>
      </c>
      <c r="FA2" s="17">
        <f t="shared" si="103"/>
        <v>39146.340000000004</v>
      </c>
      <c r="FB2" s="17">
        <f t="shared" si="103"/>
        <v>37352.26</v>
      </c>
      <c r="FC2" s="17">
        <f t="shared" si="103"/>
        <v>35467.409999999996</v>
      </c>
      <c r="FD2" s="17">
        <f t="shared" si="103"/>
        <v>33492.629999999997</v>
      </c>
      <c r="FE2" s="17">
        <f t="shared" si="103"/>
        <v>31465.020000000004</v>
      </c>
      <c r="FF2" s="17">
        <f t="shared" si="103"/>
        <v>29380.16</v>
      </c>
      <c r="FG2" s="17">
        <f t="shared" si="103"/>
        <v>27240.670000000002</v>
      </c>
      <c r="FH2" s="17">
        <f t="shared" si="103"/>
        <v>25027.329999999998</v>
      </c>
      <c r="FI2" s="17">
        <f t="shared" si="103"/>
        <v>22776.810000000005</v>
      </c>
      <c r="FJ2" s="17">
        <f t="shared" si="103"/>
        <v>20520.66</v>
      </c>
      <c r="FK2" s="17">
        <f t="shared" si="103"/>
        <v>18331.439999999999</v>
      </c>
      <c r="FL2" s="17">
        <f t="shared" si="103"/>
        <v>16218.020000000002</v>
      </c>
      <c r="FM2" s="17">
        <f t="shared" si="103"/>
        <v>14202.98</v>
      </c>
      <c r="FN2" s="17">
        <f t="shared" si="103"/>
        <v>12296.199999999999</v>
      </c>
      <c r="FO2" s="17">
        <f t="shared" si="103"/>
        <v>10556.459999999997</v>
      </c>
      <c r="FP2" s="17">
        <f t="shared" si="103"/>
        <v>8964.51</v>
      </c>
      <c r="FQ2" s="17">
        <f t="shared" si="103"/>
        <v>7526.2300000000005</v>
      </c>
      <c r="FR2" s="17">
        <f t="shared" ref="FR2:GY2" si="104">SUM(FR5:FR1048576)</f>
        <v>6251.9000000000005</v>
      </c>
      <c r="FS2" s="17">
        <f t="shared" si="104"/>
        <v>5143.5499999999993</v>
      </c>
      <c r="FT2" s="17">
        <f t="shared" si="104"/>
        <v>4173.09</v>
      </c>
      <c r="FU2" s="17">
        <f t="shared" si="104"/>
        <v>3345.8500000000004</v>
      </c>
      <c r="FV2" s="17">
        <f t="shared" si="104"/>
        <v>2652.1500000000005</v>
      </c>
      <c r="FW2" s="17">
        <f t="shared" si="104"/>
        <v>2076.5899999999997</v>
      </c>
      <c r="FX2" s="17">
        <f t="shared" si="104"/>
        <v>1597.3799999999999</v>
      </c>
      <c r="FY2" s="17">
        <f t="shared" si="104"/>
        <v>1200.3</v>
      </c>
      <c r="FZ2" s="17">
        <f t="shared" si="104"/>
        <v>874.71</v>
      </c>
      <c r="GA2" s="17">
        <f t="shared" si="104"/>
        <v>616.42000000000007</v>
      </c>
      <c r="GB2" s="17">
        <f t="shared" si="104"/>
        <v>416.4</v>
      </c>
      <c r="GC2" s="17">
        <f t="shared" si="104"/>
        <v>270.06</v>
      </c>
      <c r="GD2" s="17">
        <f t="shared" si="104"/>
        <v>168.59</v>
      </c>
      <c r="GE2" s="17">
        <f t="shared" si="104"/>
        <v>100.61999999999999</v>
      </c>
      <c r="GF2" s="17">
        <f t="shared" si="104"/>
        <v>56.42</v>
      </c>
      <c r="GG2" s="17">
        <f t="shared" si="104"/>
        <v>29.630000000000003</v>
      </c>
      <c r="GH2" s="17">
        <f t="shared" si="104"/>
        <v>14.360000000000001</v>
      </c>
      <c r="GI2" s="17">
        <f t="shared" si="104"/>
        <v>6.24</v>
      </c>
      <c r="GJ2" s="17">
        <f t="shared" si="104"/>
        <v>2.4</v>
      </c>
      <c r="GK2" s="17">
        <f t="shared" si="104"/>
        <v>0.8</v>
      </c>
      <c r="GL2" s="17">
        <f t="shared" si="104"/>
        <v>0.23</v>
      </c>
      <c r="GM2" s="17">
        <f t="shared" si="104"/>
        <v>0.05</v>
      </c>
      <c r="GN2" s="17">
        <f t="shared" si="104"/>
        <v>0.01</v>
      </c>
      <c r="GO2" s="17">
        <f t="shared" si="104"/>
        <v>0</v>
      </c>
      <c r="GP2" s="17">
        <f t="shared" si="104"/>
        <v>0</v>
      </c>
      <c r="GQ2" s="17">
        <f t="shared" si="104"/>
        <v>0</v>
      </c>
      <c r="GR2" s="17">
        <f t="shared" si="104"/>
        <v>0</v>
      </c>
      <c r="GS2" s="17">
        <f t="shared" si="104"/>
        <v>0</v>
      </c>
      <c r="GT2" s="17">
        <f t="shared" si="104"/>
        <v>0</v>
      </c>
      <c r="GU2" s="17">
        <f t="shared" si="104"/>
        <v>0</v>
      </c>
      <c r="GV2" s="17">
        <f t="shared" si="104"/>
        <v>0</v>
      </c>
      <c r="GW2" s="17">
        <f t="shared" si="104"/>
        <v>0</v>
      </c>
      <c r="GX2" s="17">
        <f t="shared" si="104"/>
        <v>0</v>
      </c>
      <c r="GY2" s="17">
        <f t="shared" si="104"/>
        <v>0</v>
      </c>
      <c r="HA2" s="3">
        <f>NPV(Assumptions!$C$9, DD2:GY2)*(1+Assumptions!$C$9)</f>
        <v>1206434.1045378963</v>
      </c>
      <c r="HB2" s="12">
        <f t="shared" ref="HB2" si="105">SUM(HB5:HB1048576)</f>
        <v>1206434.1000000001</v>
      </c>
      <c r="HD2" s="12">
        <f t="shared" ref="HD2:HE2" si="106">SUM(HD5:HD1048576)</f>
        <v>1483041.0074450411</v>
      </c>
      <c r="HE2" s="12">
        <f t="shared" si="106"/>
        <v>2573327.5560731106</v>
      </c>
      <c r="HG2" s="17">
        <f t="shared" ref="HG2:HH2" si="107">SUM(HG5:HG1048576)</f>
        <v>38295.069687118317</v>
      </c>
      <c r="HH2" s="17">
        <f t="shared" si="107"/>
        <v>79447.805421083744</v>
      </c>
      <c r="HI2" s="33"/>
      <c r="HJ2" s="17">
        <f>SUM(HJ5:HJ1048576)</f>
        <v>59320.869999999995</v>
      </c>
      <c r="HK2" s="17">
        <f>SUM(HK5:HK1048576)</f>
        <v>96168.700000000012</v>
      </c>
      <c r="HL2" s="33"/>
      <c r="HM2" s="17">
        <f>SUM(HM5:HM1048576)</f>
        <v>789869.95</v>
      </c>
      <c r="HN2" s="17">
        <f>SUM(HN5:HN1048576)</f>
        <v>1177940.92</v>
      </c>
    </row>
    <row r="3" spans="1:222" x14ac:dyDescent="0.25">
      <c r="HA3" t="s">
        <v>171</v>
      </c>
      <c r="HD3" t="s">
        <v>194</v>
      </c>
      <c r="HG3" t="s">
        <v>193</v>
      </c>
      <c r="HJ3" t="s">
        <v>195</v>
      </c>
      <c r="HM3" t="s">
        <v>196</v>
      </c>
    </row>
    <row r="4" spans="1:222" x14ac:dyDescent="0.25">
      <c r="A4" t="s">
        <v>3</v>
      </c>
      <c r="B4">
        <f>Assumptions!C3</f>
        <v>2019</v>
      </c>
      <c r="C4">
        <f t="shared" ref="C4:BA4" si="108">B4+1</f>
        <v>2020</v>
      </c>
      <c r="D4">
        <f t="shared" si="108"/>
        <v>2021</v>
      </c>
      <c r="E4">
        <f t="shared" si="108"/>
        <v>2022</v>
      </c>
      <c r="F4">
        <f t="shared" si="108"/>
        <v>2023</v>
      </c>
      <c r="G4">
        <f t="shared" si="108"/>
        <v>2024</v>
      </c>
      <c r="H4">
        <f t="shared" si="108"/>
        <v>2025</v>
      </c>
      <c r="I4">
        <f t="shared" si="108"/>
        <v>2026</v>
      </c>
      <c r="J4">
        <f t="shared" si="108"/>
        <v>2027</v>
      </c>
      <c r="K4">
        <f t="shared" si="108"/>
        <v>2028</v>
      </c>
      <c r="L4">
        <f t="shared" si="108"/>
        <v>2029</v>
      </c>
      <c r="M4">
        <f t="shared" si="108"/>
        <v>2030</v>
      </c>
      <c r="N4">
        <f t="shared" si="108"/>
        <v>2031</v>
      </c>
      <c r="O4">
        <f t="shared" si="108"/>
        <v>2032</v>
      </c>
      <c r="P4">
        <f t="shared" si="108"/>
        <v>2033</v>
      </c>
      <c r="Q4">
        <f t="shared" si="108"/>
        <v>2034</v>
      </c>
      <c r="R4">
        <f t="shared" si="108"/>
        <v>2035</v>
      </c>
      <c r="S4">
        <f t="shared" si="108"/>
        <v>2036</v>
      </c>
      <c r="T4">
        <f t="shared" si="108"/>
        <v>2037</v>
      </c>
      <c r="U4">
        <f t="shared" si="108"/>
        <v>2038</v>
      </c>
      <c r="V4">
        <f t="shared" si="108"/>
        <v>2039</v>
      </c>
      <c r="W4">
        <f t="shared" si="108"/>
        <v>2040</v>
      </c>
      <c r="X4">
        <f t="shared" si="108"/>
        <v>2041</v>
      </c>
      <c r="Y4">
        <f t="shared" si="108"/>
        <v>2042</v>
      </c>
      <c r="Z4">
        <f t="shared" si="108"/>
        <v>2043</v>
      </c>
      <c r="AA4">
        <f t="shared" si="108"/>
        <v>2044</v>
      </c>
      <c r="AB4">
        <f t="shared" si="108"/>
        <v>2045</v>
      </c>
      <c r="AC4">
        <f t="shared" si="108"/>
        <v>2046</v>
      </c>
      <c r="AD4">
        <f t="shared" si="108"/>
        <v>2047</v>
      </c>
      <c r="AE4">
        <f t="shared" si="108"/>
        <v>2048</v>
      </c>
      <c r="AF4">
        <f t="shared" si="108"/>
        <v>2049</v>
      </c>
      <c r="AG4">
        <f t="shared" si="108"/>
        <v>2050</v>
      </c>
      <c r="AH4">
        <f t="shared" si="108"/>
        <v>2051</v>
      </c>
      <c r="AI4">
        <f t="shared" si="108"/>
        <v>2052</v>
      </c>
      <c r="AJ4">
        <f t="shared" si="108"/>
        <v>2053</v>
      </c>
      <c r="AK4">
        <f t="shared" si="108"/>
        <v>2054</v>
      </c>
      <c r="AL4">
        <f t="shared" si="108"/>
        <v>2055</v>
      </c>
      <c r="AM4">
        <f t="shared" si="108"/>
        <v>2056</v>
      </c>
      <c r="AN4">
        <f t="shared" si="108"/>
        <v>2057</v>
      </c>
      <c r="AO4">
        <f t="shared" si="108"/>
        <v>2058</v>
      </c>
      <c r="AP4">
        <f t="shared" si="108"/>
        <v>2059</v>
      </c>
      <c r="AQ4">
        <f t="shared" si="108"/>
        <v>2060</v>
      </c>
      <c r="AR4">
        <f t="shared" si="108"/>
        <v>2061</v>
      </c>
      <c r="AS4">
        <f t="shared" si="108"/>
        <v>2062</v>
      </c>
      <c r="AT4">
        <f t="shared" si="108"/>
        <v>2063</v>
      </c>
      <c r="AU4">
        <f t="shared" si="108"/>
        <v>2064</v>
      </c>
      <c r="AV4">
        <f t="shared" si="108"/>
        <v>2065</v>
      </c>
      <c r="AW4">
        <f t="shared" si="108"/>
        <v>2066</v>
      </c>
      <c r="AX4">
        <f t="shared" si="108"/>
        <v>2067</v>
      </c>
      <c r="AY4">
        <f t="shared" si="108"/>
        <v>2068</v>
      </c>
      <c r="AZ4">
        <f t="shared" si="108"/>
        <v>2069</v>
      </c>
      <c r="BA4">
        <f t="shared" si="108"/>
        <v>2070</v>
      </c>
      <c r="BB4">
        <f t="shared" ref="BB4:CW4" si="109">BA4+1</f>
        <v>2071</v>
      </c>
      <c r="BC4">
        <f t="shared" si="109"/>
        <v>2072</v>
      </c>
      <c r="BD4">
        <f t="shared" si="109"/>
        <v>2073</v>
      </c>
      <c r="BE4">
        <f t="shared" si="109"/>
        <v>2074</v>
      </c>
      <c r="BF4">
        <f t="shared" si="109"/>
        <v>2075</v>
      </c>
      <c r="BG4">
        <f t="shared" si="109"/>
        <v>2076</v>
      </c>
      <c r="BH4">
        <f t="shared" si="109"/>
        <v>2077</v>
      </c>
      <c r="BI4">
        <f t="shared" si="109"/>
        <v>2078</v>
      </c>
      <c r="BJ4">
        <f t="shared" si="109"/>
        <v>2079</v>
      </c>
      <c r="BK4">
        <f t="shared" si="109"/>
        <v>2080</v>
      </c>
      <c r="BL4">
        <f t="shared" si="109"/>
        <v>2081</v>
      </c>
      <c r="BM4">
        <f t="shared" si="109"/>
        <v>2082</v>
      </c>
      <c r="BN4">
        <f t="shared" si="109"/>
        <v>2083</v>
      </c>
      <c r="BO4">
        <f t="shared" si="109"/>
        <v>2084</v>
      </c>
      <c r="BP4">
        <f t="shared" si="109"/>
        <v>2085</v>
      </c>
      <c r="BQ4">
        <f t="shared" si="109"/>
        <v>2086</v>
      </c>
      <c r="BR4">
        <f t="shared" si="109"/>
        <v>2087</v>
      </c>
      <c r="BS4">
        <f t="shared" si="109"/>
        <v>2088</v>
      </c>
      <c r="BT4">
        <f t="shared" si="109"/>
        <v>2089</v>
      </c>
      <c r="BU4">
        <f t="shared" si="109"/>
        <v>2090</v>
      </c>
      <c r="BV4">
        <f t="shared" si="109"/>
        <v>2091</v>
      </c>
      <c r="BW4">
        <f t="shared" si="109"/>
        <v>2092</v>
      </c>
      <c r="BX4">
        <f t="shared" si="109"/>
        <v>2093</v>
      </c>
      <c r="BY4">
        <f t="shared" si="109"/>
        <v>2094</v>
      </c>
      <c r="BZ4">
        <f t="shared" si="109"/>
        <v>2095</v>
      </c>
      <c r="CA4">
        <f t="shared" si="109"/>
        <v>2096</v>
      </c>
      <c r="CB4">
        <f t="shared" si="109"/>
        <v>2097</v>
      </c>
      <c r="CC4">
        <f t="shared" si="109"/>
        <v>2098</v>
      </c>
      <c r="CD4">
        <f t="shared" si="109"/>
        <v>2099</v>
      </c>
      <c r="CE4">
        <f t="shared" si="109"/>
        <v>2100</v>
      </c>
      <c r="CF4">
        <f t="shared" si="109"/>
        <v>2101</v>
      </c>
      <c r="CG4">
        <f t="shared" si="109"/>
        <v>2102</v>
      </c>
      <c r="CH4">
        <f t="shared" si="109"/>
        <v>2103</v>
      </c>
      <c r="CI4">
        <f t="shared" si="109"/>
        <v>2104</v>
      </c>
      <c r="CJ4">
        <f t="shared" si="109"/>
        <v>2105</v>
      </c>
      <c r="CK4">
        <f t="shared" si="109"/>
        <v>2106</v>
      </c>
      <c r="CL4">
        <f t="shared" si="109"/>
        <v>2107</v>
      </c>
      <c r="CM4">
        <f t="shared" si="109"/>
        <v>2108</v>
      </c>
      <c r="CN4">
        <f t="shared" si="109"/>
        <v>2109</v>
      </c>
      <c r="CO4">
        <f t="shared" si="109"/>
        <v>2110</v>
      </c>
      <c r="CP4">
        <f t="shared" si="109"/>
        <v>2111</v>
      </c>
      <c r="CQ4">
        <f t="shared" si="109"/>
        <v>2112</v>
      </c>
      <c r="CR4">
        <f t="shared" si="109"/>
        <v>2113</v>
      </c>
      <c r="CS4">
        <f t="shared" si="109"/>
        <v>2114</v>
      </c>
      <c r="CT4">
        <f t="shared" si="109"/>
        <v>2115</v>
      </c>
      <c r="CU4">
        <f t="shared" si="109"/>
        <v>2116</v>
      </c>
      <c r="CV4">
        <f t="shared" si="109"/>
        <v>2117</v>
      </c>
      <c r="CW4">
        <f t="shared" si="109"/>
        <v>2118</v>
      </c>
      <c r="DD4">
        <f>B4</f>
        <v>2019</v>
      </c>
      <c r="DE4">
        <f t="shared" ref="DE4" si="110">DD4+1</f>
        <v>2020</v>
      </c>
      <c r="DF4">
        <f t="shared" ref="DF4" si="111">DE4+1</f>
        <v>2021</v>
      </c>
      <c r="DG4">
        <f t="shared" ref="DG4" si="112">DF4+1</f>
        <v>2022</v>
      </c>
      <c r="DH4">
        <f t="shared" ref="DH4" si="113">DG4+1</f>
        <v>2023</v>
      </c>
      <c r="DI4">
        <f t="shared" ref="DI4" si="114">DH4+1</f>
        <v>2024</v>
      </c>
      <c r="DJ4">
        <f t="shared" ref="DJ4" si="115">DI4+1</f>
        <v>2025</v>
      </c>
      <c r="DK4">
        <f t="shared" ref="DK4" si="116">DJ4+1</f>
        <v>2026</v>
      </c>
      <c r="DL4">
        <f t="shared" ref="DL4" si="117">DK4+1</f>
        <v>2027</v>
      </c>
      <c r="DM4">
        <f t="shared" ref="DM4" si="118">DL4+1</f>
        <v>2028</v>
      </c>
      <c r="DN4">
        <f t="shared" ref="DN4" si="119">DM4+1</f>
        <v>2029</v>
      </c>
      <c r="DO4">
        <f t="shared" ref="DO4" si="120">DN4+1</f>
        <v>2030</v>
      </c>
      <c r="DP4">
        <f t="shared" ref="DP4" si="121">DO4+1</f>
        <v>2031</v>
      </c>
      <c r="DQ4">
        <f t="shared" ref="DQ4" si="122">DP4+1</f>
        <v>2032</v>
      </c>
      <c r="DR4">
        <f t="shared" ref="DR4" si="123">DQ4+1</f>
        <v>2033</v>
      </c>
      <c r="DS4">
        <f t="shared" ref="DS4" si="124">DR4+1</f>
        <v>2034</v>
      </c>
      <c r="DT4">
        <f t="shared" ref="DT4" si="125">DS4+1</f>
        <v>2035</v>
      </c>
      <c r="DU4">
        <f t="shared" ref="DU4" si="126">DT4+1</f>
        <v>2036</v>
      </c>
      <c r="DV4">
        <f t="shared" ref="DV4" si="127">DU4+1</f>
        <v>2037</v>
      </c>
      <c r="DW4">
        <f t="shared" ref="DW4" si="128">DV4+1</f>
        <v>2038</v>
      </c>
      <c r="DX4">
        <f t="shared" ref="DX4" si="129">DW4+1</f>
        <v>2039</v>
      </c>
      <c r="DY4">
        <f t="shared" ref="DY4" si="130">DX4+1</f>
        <v>2040</v>
      </c>
      <c r="DZ4">
        <f t="shared" ref="DZ4" si="131">DY4+1</f>
        <v>2041</v>
      </c>
      <c r="EA4">
        <f t="shared" ref="EA4" si="132">DZ4+1</f>
        <v>2042</v>
      </c>
      <c r="EB4">
        <f t="shared" ref="EB4" si="133">EA4+1</f>
        <v>2043</v>
      </c>
      <c r="EC4">
        <f t="shared" ref="EC4" si="134">EB4+1</f>
        <v>2044</v>
      </c>
      <c r="ED4">
        <f t="shared" ref="ED4" si="135">EC4+1</f>
        <v>2045</v>
      </c>
      <c r="EE4">
        <f t="shared" ref="EE4" si="136">ED4+1</f>
        <v>2046</v>
      </c>
      <c r="EF4">
        <f t="shared" ref="EF4" si="137">EE4+1</f>
        <v>2047</v>
      </c>
      <c r="EG4">
        <f t="shared" ref="EG4" si="138">EF4+1</f>
        <v>2048</v>
      </c>
      <c r="EH4">
        <f t="shared" ref="EH4" si="139">EG4+1</f>
        <v>2049</v>
      </c>
      <c r="EI4">
        <f t="shared" ref="EI4" si="140">EH4+1</f>
        <v>2050</v>
      </c>
      <c r="EJ4">
        <f t="shared" ref="EJ4" si="141">EI4+1</f>
        <v>2051</v>
      </c>
      <c r="EK4">
        <f t="shared" ref="EK4" si="142">EJ4+1</f>
        <v>2052</v>
      </c>
      <c r="EL4">
        <f t="shared" ref="EL4" si="143">EK4+1</f>
        <v>2053</v>
      </c>
      <c r="EM4">
        <f t="shared" ref="EM4" si="144">EL4+1</f>
        <v>2054</v>
      </c>
      <c r="EN4">
        <f t="shared" ref="EN4" si="145">EM4+1</f>
        <v>2055</v>
      </c>
      <c r="EO4">
        <f t="shared" ref="EO4" si="146">EN4+1</f>
        <v>2056</v>
      </c>
      <c r="EP4">
        <f t="shared" ref="EP4" si="147">EO4+1</f>
        <v>2057</v>
      </c>
      <c r="EQ4">
        <f t="shared" ref="EQ4" si="148">EP4+1</f>
        <v>2058</v>
      </c>
      <c r="ER4">
        <f t="shared" ref="ER4" si="149">EQ4+1</f>
        <v>2059</v>
      </c>
      <c r="ES4">
        <f t="shared" ref="ES4" si="150">ER4+1</f>
        <v>2060</v>
      </c>
      <c r="ET4">
        <f t="shared" ref="ET4" si="151">ES4+1</f>
        <v>2061</v>
      </c>
      <c r="EU4">
        <f t="shared" ref="EU4" si="152">ET4+1</f>
        <v>2062</v>
      </c>
      <c r="EV4">
        <f t="shared" ref="EV4" si="153">EU4+1</f>
        <v>2063</v>
      </c>
      <c r="EW4">
        <f t="shared" ref="EW4" si="154">EV4+1</f>
        <v>2064</v>
      </c>
      <c r="EX4">
        <f t="shared" ref="EX4" si="155">EW4+1</f>
        <v>2065</v>
      </c>
      <c r="EY4">
        <f t="shared" ref="EY4" si="156">EX4+1</f>
        <v>2066</v>
      </c>
      <c r="EZ4">
        <f t="shared" ref="EZ4" si="157">EY4+1</f>
        <v>2067</v>
      </c>
      <c r="FA4">
        <f t="shared" ref="FA4" si="158">EZ4+1</f>
        <v>2068</v>
      </c>
      <c r="FB4">
        <f t="shared" ref="FB4" si="159">FA4+1</f>
        <v>2069</v>
      </c>
      <c r="FC4">
        <f t="shared" ref="FC4" si="160">FB4+1</f>
        <v>2070</v>
      </c>
      <c r="FD4">
        <f t="shared" ref="FD4" si="161">FC4+1</f>
        <v>2071</v>
      </c>
      <c r="FE4">
        <f t="shared" ref="FE4" si="162">FD4+1</f>
        <v>2072</v>
      </c>
      <c r="FF4">
        <f t="shared" ref="FF4" si="163">FE4+1</f>
        <v>2073</v>
      </c>
      <c r="FG4">
        <f t="shared" ref="FG4" si="164">FF4+1</f>
        <v>2074</v>
      </c>
      <c r="FH4">
        <f t="shared" ref="FH4" si="165">FG4+1</f>
        <v>2075</v>
      </c>
      <c r="FI4">
        <f t="shared" ref="FI4" si="166">FH4+1</f>
        <v>2076</v>
      </c>
      <c r="FJ4">
        <f t="shared" ref="FJ4" si="167">FI4+1</f>
        <v>2077</v>
      </c>
      <c r="FK4">
        <f t="shared" ref="FK4" si="168">FJ4+1</f>
        <v>2078</v>
      </c>
      <c r="FL4">
        <f t="shared" ref="FL4" si="169">FK4+1</f>
        <v>2079</v>
      </c>
      <c r="FM4">
        <f t="shared" ref="FM4" si="170">FL4+1</f>
        <v>2080</v>
      </c>
      <c r="FN4">
        <f t="shared" ref="FN4" si="171">FM4+1</f>
        <v>2081</v>
      </c>
      <c r="FO4">
        <f t="shared" ref="FO4" si="172">FN4+1</f>
        <v>2082</v>
      </c>
      <c r="FP4">
        <f t="shared" ref="FP4" si="173">FO4+1</f>
        <v>2083</v>
      </c>
      <c r="FQ4">
        <f t="shared" ref="FQ4" si="174">FP4+1</f>
        <v>2084</v>
      </c>
      <c r="FR4">
        <f t="shared" ref="FR4" si="175">FQ4+1</f>
        <v>2085</v>
      </c>
      <c r="FS4">
        <f t="shared" ref="FS4" si="176">FR4+1</f>
        <v>2086</v>
      </c>
      <c r="FT4">
        <f t="shared" ref="FT4" si="177">FS4+1</f>
        <v>2087</v>
      </c>
      <c r="FU4">
        <f t="shared" ref="FU4" si="178">FT4+1</f>
        <v>2088</v>
      </c>
      <c r="FV4">
        <f t="shared" ref="FV4" si="179">FU4+1</f>
        <v>2089</v>
      </c>
      <c r="FW4">
        <f t="shared" ref="FW4" si="180">FV4+1</f>
        <v>2090</v>
      </c>
      <c r="FX4">
        <f t="shared" ref="FX4" si="181">FW4+1</f>
        <v>2091</v>
      </c>
      <c r="FY4">
        <f t="shared" ref="FY4" si="182">FX4+1</f>
        <v>2092</v>
      </c>
      <c r="FZ4">
        <f t="shared" ref="FZ4" si="183">FY4+1</f>
        <v>2093</v>
      </c>
      <c r="GA4">
        <f t="shared" ref="GA4" si="184">FZ4+1</f>
        <v>2094</v>
      </c>
      <c r="GB4">
        <f t="shared" ref="GB4" si="185">GA4+1</f>
        <v>2095</v>
      </c>
      <c r="GC4">
        <f t="shared" ref="GC4" si="186">GB4+1</f>
        <v>2096</v>
      </c>
      <c r="GD4">
        <f t="shared" ref="GD4" si="187">GC4+1</f>
        <v>2097</v>
      </c>
      <c r="GE4">
        <f t="shared" ref="GE4" si="188">GD4+1</f>
        <v>2098</v>
      </c>
      <c r="GF4">
        <f t="shared" ref="GF4" si="189">GE4+1</f>
        <v>2099</v>
      </c>
      <c r="GG4">
        <f t="shared" ref="GG4" si="190">GF4+1</f>
        <v>2100</v>
      </c>
      <c r="GH4">
        <f t="shared" ref="GH4" si="191">GG4+1</f>
        <v>2101</v>
      </c>
      <c r="GI4">
        <f t="shared" ref="GI4" si="192">GH4+1</f>
        <v>2102</v>
      </c>
      <c r="GJ4">
        <f t="shared" ref="GJ4" si="193">GI4+1</f>
        <v>2103</v>
      </c>
      <c r="GK4">
        <f t="shared" ref="GK4" si="194">GJ4+1</f>
        <v>2104</v>
      </c>
      <c r="GL4">
        <f t="shared" ref="GL4" si="195">GK4+1</f>
        <v>2105</v>
      </c>
      <c r="GM4">
        <f t="shared" ref="GM4" si="196">GL4+1</f>
        <v>2106</v>
      </c>
      <c r="GN4">
        <f t="shared" ref="GN4" si="197">GM4+1</f>
        <v>2107</v>
      </c>
      <c r="GO4">
        <f t="shared" ref="GO4" si="198">GN4+1</f>
        <v>2108</v>
      </c>
      <c r="GP4">
        <f t="shared" ref="GP4" si="199">GO4+1</f>
        <v>2109</v>
      </c>
      <c r="GQ4">
        <f t="shared" ref="GQ4" si="200">GP4+1</f>
        <v>2110</v>
      </c>
      <c r="GR4">
        <f t="shared" ref="GR4" si="201">GQ4+1</f>
        <v>2111</v>
      </c>
      <c r="GS4">
        <f t="shared" ref="GS4" si="202">GR4+1</f>
        <v>2112</v>
      </c>
      <c r="GT4">
        <f t="shared" ref="GT4" si="203">GS4+1</f>
        <v>2113</v>
      </c>
      <c r="GU4">
        <f t="shared" ref="GU4" si="204">GT4+1</f>
        <v>2114</v>
      </c>
      <c r="GV4">
        <f t="shared" ref="GV4" si="205">GU4+1</f>
        <v>2115</v>
      </c>
      <c r="GW4">
        <f t="shared" ref="GW4" si="206">GV4+1</f>
        <v>2116</v>
      </c>
      <c r="GX4">
        <f t="shared" ref="GX4" si="207">GW4+1</f>
        <v>2117</v>
      </c>
      <c r="GY4">
        <f t="shared" ref="GY4" si="208">GX4+1</f>
        <v>2118</v>
      </c>
      <c r="HD4" s="27" t="s">
        <v>187</v>
      </c>
      <c r="HE4" s="27" t="s">
        <v>188</v>
      </c>
      <c r="HG4" s="27" t="s">
        <v>187</v>
      </c>
      <c r="HH4" s="27" t="s">
        <v>188</v>
      </c>
      <c r="HJ4" s="27" t="s">
        <v>187</v>
      </c>
      <c r="HK4" s="27" t="s">
        <v>188</v>
      </c>
      <c r="HM4" s="27" t="s">
        <v>187</v>
      </c>
      <c r="HN4" s="27" t="s">
        <v>188</v>
      </c>
    </row>
    <row r="5" spans="1:222" x14ac:dyDescent="0.25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171.37</v>
      </c>
      <c r="H5">
        <v>345.8</v>
      </c>
      <c r="I5">
        <v>584.42999999999995</v>
      </c>
      <c r="J5">
        <v>816.81</v>
      </c>
      <c r="K5">
        <v>1173.23</v>
      </c>
      <c r="L5">
        <v>1758.72</v>
      </c>
      <c r="M5">
        <v>2296.25</v>
      </c>
      <c r="N5">
        <v>3020.94</v>
      </c>
      <c r="O5">
        <v>3895.72</v>
      </c>
      <c r="P5">
        <v>5005.2299999999996</v>
      </c>
      <c r="Q5">
        <v>6809.06</v>
      </c>
      <c r="R5">
        <v>9037.64</v>
      </c>
      <c r="S5">
        <v>12381.13</v>
      </c>
      <c r="T5">
        <v>15387.59</v>
      </c>
      <c r="U5">
        <v>7364.14</v>
      </c>
      <c r="V5">
        <v>8472.84</v>
      </c>
      <c r="W5">
        <v>9263.4599999999991</v>
      </c>
      <c r="X5">
        <v>10075.27</v>
      </c>
      <c r="Y5">
        <v>10719.91</v>
      </c>
      <c r="Z5">
        <v>11348.3</v>
      </c>
      <c r="AA5">
        <v>11954.77</v>
      </c>
      <c r="AB5">
        <v>12514.41</v>
      </c>
      <c r="AC5">
        <v>13062</v>
      </c>
      <c r="AD5">
        <v>13575.55</v>
      </c>
      <c r="AE5">
        <v>14076.62</v>
      </c>
      <c r="AF5">
        <v>14650</v>
      </c>
      <c r="AG5">
        <v>15078.78</v>
      </c>
      <c r="AH5">
        <v>15474.46</v>
      </c>
      <c r="AI5">
        <v>15825.34</v>
      </c>
      <c r="AJ5">
        <v>16118.23</v>
      </c>
      <c r="AK5">
        <v>16341.72</v>
      </c>
      <c r="AL5">
        <v>16481.759999999998</v>
      </c>
      <c r="AM5">
        <v>16524.580000000002</v>
      </c>
      <c r="AN5">
        <v>16459.599999999999</v>
      </c>
      <c r="AO5">
        <v>16280.27</v>
      </c>
      <c r="AP5">
        <v>15978.71</v>
      </c>
      <c r="AQ5">
        <v>15548.05</v>
      </c>
      <c r="AR5">
        <v>14954.46</v>
      </c>
      <c r="AS5">
        <v>14191.21</v>
      </c>
      <c r="AT5">
        <v>13260.76</v>
      </c>
      <c r="AU5">
        <v>12175.03</v>
      </c>
      <c r="AV5">
        <v>10959.83</v>
      </c>
      <c r="AW5">
        <v>9655.83</v>
      </c>
      <c r="AX5">
        <v>8313.2199999999993</v>
      </c>
      <c r="AY5">
        <v>6983.56</v>
      </c>
      <c r="AZ5">
        <v>5714.06</v>
      </c>
      <c r="BA5">
        <v>4544.9399999999996</v>
      </c>
      <c r="BB5">
        <v>3506.9</v>
      </c>
      <c r="BC5">
        <v>2640.5</v>
      </c>
      <c r="BD5">
        <v>1921.82</v>
      </c>
      <c r="BE5">
        <v>1367.84</v>
      </c>
      <c r="BF5">
        <v>922.93</v>
      </c>
      <c r="BG5">
        <v>586.98</v>
      </c>
      <c r="BH5">
        <v>337.34</v>
      </c>
      <c r="BI5">
        <v>170.58</v>
      </c>
      <c r="BJ5">
        <v>74.63</v>
      </c>
      <c r="BK5">
        <v>27.97</v>
      </c>
      <c r="BL5">
        <v>8.5500000000000007</v>
      </c>
      <c r="BM5">
        <v>1.96</v>
      </c>
      <c r="BN5">
        <v>0.28999999999999998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Y5" s="3">
        <f>NPV(Assumptions!$C$9, B5:CW5)*(1+Assumptions!$C$9)</f>
        <v>156035.73150266983</v>
      </c>
      <c r="CZ5" s="12">
        <f>'Present Values'!B5</f>
        <v>156035.73000000001</v>
      </c>
      <c r="DD5">
        <f>ROUND(B5*VLOOKUP($A5,'Present Values'!$A:$F,4)/VLOOKUP($A5,'Present Values'!$A:$F,2),2)</f>
        <v>0</v>
      </c>
      <c r="DE5">
        <f>ROUND(C5*VLOOKUP($A5,'Present Values'!$A:$F,4)/VLOOKUP($A5,'Present Values'!$A:$F,2),2)</f>
        <v>0</v>
      </c>
      <c r="DF5">
        <f>ROUND(D5*VLOOKUP($A5,'Present Values'!$A:$F,4)/VLOOKUP($A5,'Present Values'!$A:$F,2),2)</f>
        <v>0</v>
      </c>
      <c r="DG5">
        <f>ROUND(E5*VLOOKUP($A5,'Present Values'!$A:$F,4)/VLOOKUP($A5,'Present Values'!$A:$F,2),2)</f>
        <v>0</v>
      </c>
      <c r="DH5">
        <f>ROUND(F5*VLOOKUP($A5,'Present Values'!$A:$F,4)/VLOOKUP($A5,'Present Values'!$A:$F,2),2)</f>
        <v>0</v>
      </c>
      <c r="DI5">
        <f>ROUND(G5*VLOOKUP($A5,'Present Values'!$A:$F,4)/VLOOKUP($A5,'Present Values'!$A:$F,2),2)</f>
        <v>122.41</v>
      </c>
      <c r="DJ5">
        <f>ROUND(H5*VLOOKUP($A5,'Present Values'!$A:$F,4)/VLOOKUP($A5,'Present Values'!$A:$F,2),2)</f>
        <v>247</v>
      </c>
      <c r="DK5">
        <f>ROUND(I5*VLOOKUP($A5,'Present Values'!$A:$F,4)/VLOOKUP($A5,'Present Values'!$A:$F,2),2)</f>
        <v>417.45</v>
      </c>
      <c r="DL5">
        <f>ROUND(J5*VLOOKUP($A5,'Present Values'!$A:$F,4)/VLOOKUP($A5,'Present Values'!$A:$F,2),2)</f>
        <v>583.44000000000005</v>
      </c>
      <c r="DM5">
        <f>ROUND(K5*VLOOKUP($A5,'Present Values'!$A:$F,4)/VLOOKUP($A5,'Present Values'!$A:$F,2),2)</f>
        <v>838.02</v>
      </c>
      <c r="DN5">
        <f>ROUND(L5*VLOOKUP($A5,'Present Values'!$A:$F,4)/VLOOKUP($A5,'Present Values'!$A:$F,2),2)</f>
        <v>1256.23</v>
      </c>
      <c r="DO5">
        <f>ROUND(M5*VLOOKUP($A5,'Present Values'!$A:$F,4)/VLOOKUP($A5,'Present Values'!$A:$F,2),2)</f>
        <v>1640.18</v>
      </c>
      <c r="DP5">
        <f>ROUND(N5*VLOOKUP($A5,'Present Values'!$A:$F,4)/VLOOKUP($A5,'Present Values'!$A:$F,2),2)</f>
        <v>2157.81</v>
      </c>
      <c r="DQ5">
        <f>ROUND(O5*VLOOKUP($A5,'Present Values'!$A:$F,4)/VLOOKUP($A5,'Present Values'!$A:$F,2),2)</f>
        <v>2782.66</v>
      </c>
      <c r="DR5">
        <f>ROUND(P5*VLOOKUP($A5,'Present Values'!$A:$F,4)/VLOOKUP($A5,'Present Values'!$A:$F,2),2)</f>
        <v>3575.16</v>
      </c>
      <c r="DS5">
        <f>ROUND(Q5*VLOOKUP($A5,'Present Values'!$A:$F,4)/VLOOKUP($A5,'Present Values'!$A:$F,2),2)</f>
        <v>4863.6099999999997</v>
      </c>
      <c r="DT5">
        <f>ROUND(R5*VLOOKUP($A5,'Present Values'!$A:$F,4)/VLOOKUP($A5,'Present Values'!$A:$F,2),2)</f>
        <v>6455.46</v>
      </c>
      <c r="DU5">
        <f>ROUND(S5*VLOOKUP($A5,'Present Values'!$A:$F,4)/VLOOKUP($A5,'Present Values'!$A:$F,2),2)</f>
        <v>8843.66</v>
      </c>
      <c r="DV5">
        <f>ROUND(T5*VLOOKUP($A5,'Present Values'!$A:$F,4)/VLOOKUP($A5,'Present Values'!$A:$F,2),2)</f>
        <v>10991.14</v>
      </c>
      <c r="DW5">
        <f>ROUND(U5*VLOOKUP($A5,'Present Values'!$A:$F,4)/VLOOKUP($A5,'Present Values'!$A:$F,2),2)</f>
        <v>5260.1</v>
      </c>
      <c r="DX5">
        <f>ROUND(V5*VLOOKUP($A5,'Present Values'!$A:$F,4)/VLOOKUP($A5,'Present Values'!$A:$F,2),2)</f>
        <v>6052.03</v>
      </c>
      <c r="DY5">
        <f>ROUND(W5*VLOOKUP($A5,'Present Values'!$A:$F,4)/VLOOKUP($A5,'Present Values'!$A:$F,2),2)</f>
        <v>6616.76</v>
      </c>
      <c r="DZ5">
        <f>ROUND(X5*VLOOKUP($A5,'Present Values'!$A:$F,4)/VLOOKUP($A5,'Present Values'!$A:$F,2),2)</f>
        <v>7196.62</v>
      </c>
      <c r="EA5">
        <f>ROUND(Y5*VLOOKUP($A5,'Present Values'!$A:$F,4)/VLOOKUP($A5,'Present Values'!$A:$F,2),2)</f>
        <v>7657.08</v>
      </c>
      <c r="EB5">
        <f>ROUND(Z5*VLOOKUP($A5,'Present Values'!$A:$F,4)/VLOOKUP($A5,'Present Values'!$A:$F,2),2)</f>
        <v>8105.93</v>
      </c>
      <c r="EC5">
        <f>ROUND(AA5*VLOOKUP($A5,'Present Values'!$A:$F,4)/VLOOKUP($A5,'Present Values'!$A:$F,2),2)</f>
        <v>8539.1200000000008</v>
      </c>
      <c r="ED5">
        <f>ROUND(AB5*VLOOKUP($A5,'Present Values'!$A:$F,4)/VLOOKUP($A5,'Present Values'!$A:$F,2),2)</f>
        <v>8938.86</v>
      </c>
      <c r="EE5">
        <f>ROUND(AC5*VLOOKUP($A5,'Present Values'!$A:$F,4)/VLOOKUP($A5,'Present Values'!$A:$F,2),2)</f>
        <v>9330</v>
      </c>
      <c r="EF5">
        <f>ROUND(AD5*VLOOKUP($A5,'Present Values'!$A:$F,4)/VLOOKUP($A5,'Present Values'!$A:$F,2),2)</f>
        <v>9696.82</v>
      </c>
      <c r="EG5">
        <f>ROUND(AE5*VLOOKUP($A5,'Present Values'!$A:$F,4)/VLOOKUP($A5,'Present Values'!$A:$F,2),2)</f>
        <v>10054.73</v>
      </c>
      <c r="EH5">
        <f>ROUND(AF5*VLOOKUP($A5,'Present Values'!$A:$F,4)/VLOOKUP($A5,'Present Values'!$A:$F,2),2)</f>
        <v>10464.290000000001</v>
      </c>
      <c r="EI5">
        <f>ROUND(AG5*VLOOKUP($A5,'Present Values'!$A:$F,4)/VLOOKUP($A5,'Present Values'!$A:$F,2),2)</f>
        <v>10770.56</v>
      </c>
      <c r="EJ5">
        <f>ROUND(AH5*VLOOKUP($A5,'Present Values'!$A:$F,4)/VLOOKUP($A5,'Present Values'!$A:$F,2),2)</f>
        <v>11053.19</v>
      </c>
      <c r="EK5">
        <f>ROUND(AI5*VLOOKUP($A5,'Present Values'!$A:$F,4)/VLOOKUP($A5,'Present Values'!$A:$F,2),2)</f>
        <v>11303.82</v>
      </c>
      <c r="EL5">
        <f>ROUND(AJ5*VLOOKUP($A5,'Present Values'!$A:$F,4)/VLOOKUP($A5,'Present Values'!$A:$F,2),2)</f>
        <v>11513.02</v>
      </c>
      <c r="EM5">
        <f>ROUND(AK5*VLOOKUP($A5,'Present Values'!$A:$F,4)/VLOOKUP($A5,'Present Values'!$A:$F,2),2)</f>
        <v>11672.66</v>
      </c>
      <c r="EN5">
        <f>ROUND(AL5*VLOOKUP($A5,'Present Values'!$A:$F,4)/VLOOKUP($A5,'Present Values'!$A:$F,2),2)</f>
        <v>11772.69</v>
      </c>
      <c r="EO5">
        <f>ROUND(AM5*VLOOKUP($A5,'Present Values'!$A:$F,4)/VLOOKUP($A5,'Present Values'!$A:$F,2),2)</f>
        <v>11803.27</v>
      </c>
      <c r="EP5">
        <f>ROUND(AN5*VLOOKUP($A5,'Present Values'!$A:$F,4)/VLOOKUP($A5,'Present Values'!$A:$F,2),2)</f>
        <v>11756.86</v>
      </c>
      <c r="EQ5">
        <f>ROUND(AO5*VLOOKUP($A5,'Present Values'!$A:$F,4)/VLOOKUP($A5,'Present Values'!$A:$F,2),2)</f>
        <v>11628.77</v>
      </c>
      <c r="ER5">
        <f>ROUND(AP5*VLOOKUP($A5,'Present Values'!$A:$F,4)/VLOOKUP($A5,'Present Values'!$A:$F,2),2)</f>
        <v>11413.37</v>
      </c>
      <c r="ES5">
        <f>ROUND(AQ5*VLOOKUP($A5,'Present Values'!$A:$F,4)/VLOOKUP($A5,'Present Values'!$A:$F,2),2)</f>
        <v>11105.75</v>
      </c>
      <c r="ET5">
        <f>ROUND(AR5*VLOOKUP($A5,'Present Values'!$A:$F,4)/VLOOKUP($A5,'Present Values'!$A:$F,2),2)</f>
        <v>10681.76</v>
      </c>
      <c r="EU5">
        <f>ROUND(AS5*VLOOKUP($A5,'Present Values'!$A:$F,4)/VLOOKUP($A5,'Present Values'!$A:$F,2),2)</f>
        <v>10136.58</v>
      </c>
      <c r="EV5">
        <f>ROUND(AT5*VLOOKUP($A5,'Present Values'!$A:$F,4)/VLOOKUP($A5,'Present Values'!$A:$F,2),2)</f>
        <v>9471.9699999999993</v>
      </c>
      <c r="EW5">
        <f>ROUND(AU5*VLOOKUP($A5,'Present Values'!$A:$F,4)/VLOOKUP($A5,'Present Values'!$A:$F,2),2)</f>
        <v>8696.4500000000007</v>
      </c>
      <c r="EX5">
        <f>ROUND(AV5*VLOOKUP($A5,'Present Values'!$A:$F,4)/VLOOKUP($A5,'Present Values'!$A:$F,2),2)</f>
        <v>7828.45</v>
      </c>
      <c r="EY5">
        <f>ROUND(AW5*VLOOKUP($A5,'Present Values'!$A:$F,4)/VLOOKUP($A5,'Present Values'!$A:$F,2),2)</f>
        <v>6897.02</v>
      </c>
      <c r="EZ5">
        <f>ROUND(AX5*VLOOKUP($A5,'Present Values'!$A:$F,4)/VLOOKUP($A5,'Present Values'!$A:$F,2),2)</f>
        <v>5938.01</v>
      </c>
      <c r="FA5">
        <f>ROUND(AY5*VLOOKUP($A5,'Present Values'!$A:$F,4)/VLOOKUP($A5,'Present Values'!$A:$F,2),2)</f>
        <v>4988.26</v>
      </c>
      <c r="FB5">
        <f>ROUND(AZ5*VLOOKUP($A5,'Present Values'!$A:$F,4)/VLOOKUP($A5,'Present Values'!$A:$F,2),2)</f>
        <v>4081.47</v>
      </c>
      <c r="FC5">
        <f>ROUND(BA5*VLOOKUP($A5,'Present Values'!$A:$F,4)/VLOOKUP($A5,'Present Values'!$A:$F,2),2)</f>
        <v>3246.39</v>
      </c>
      <c r="FD5">
        <f>ROUND(BB5*VLOOKUP($A5,'Present Values'!$A:$F,4)/VLOOKUP($A5,'Present Values'!$A:$F,2),2)</f>
        <v>2504.9299999999998</v>
      </c>
      <c r="FE5">
        <f>ROUND(BC5*VLOOKUP($A5,'Present Values'!$A:$F,4)/VLOOKUP($A5,'Present Values'!$A:$F,2),2)</f>
        <v>1886.07</v>
      </c>
      <c r="FF5">
        <f>ROUND(BD5*VLOOKUP($A5,'Present Values'!$A:$F,4)/VLOOKUP($A5,'Present Values'!$A:$F,2),2)</f>
        <v>1372.73</v>
      </c>
      <c r="FG5">
        <f>ROUND(BE5*VLOOKUP($A5,'Present Values'!$A:$F,4)/VLOOKUP($A5,'Present Values'!$A:$F,2),2)</f>
        <v>977.03</v>
      </c>
      <c r="FH5">
        <f>ROUND(BF5*VLOOKUP($A5,'Present Values'!$A:$F,4)/VLOOKUP($A5,'Present Values'!$A:$F,2),2)</f>
        <v>659.24</v>
      </c>
      <c r="FI5">
        <f>ROUND(BG5*VLOOKUP($A5,'Present Values'!$A:$F,4)/VLOOKUP($A5,'Present Values'!$A:$F,2),2)</f>
        <v>419.27</v>
      </c>
      <c r="FJ5">
        <f>ROUND(BH5*VLOOKUP($A5,'Present Values'!$A:$F,4)/VLOOKUP($A5,'Present Values'!$A:$F,2),2)</f>
        <v>240.96</v>
      </c>
      <c r="FK5">
        <f>ROUND(BI5*VLOOKUP($A5,'Present Values'!$A:$F,4)/VLOOKUP($A5,'Present Values'!$A:$F,2),2)</f>
        <v>121.84</v>
      </c>
      <c r="FL5">
        <f>ROUND(BJ5*VLOOKUP($A5,'Present Values'!$A:$F,4)/VLOOKUP($A5,'Present Values'!$A:$F,2),2)</f>
        <v>53.31</v>
      </c>
      <c r="FM5">
        <f>ROUND(BK5*VLOOKUP($A5,'Present Values'!$A:$F,4)/VLOOKUP($A5,'Present Values'!$A:$F,2),2)</f>
        <v>19.98</v>
      </c>
      <c r="FN5">
        <f>ROUND(BL5*VLOOKUP($A5,'Present Values'!$A:$F,4)/VLOOKUP($A5,'Present Values'!$A:$F,2),2)</f>
        <v>6.11</v>
      </c>
      <c r="FO5">
        <f>ROUND(BM5*VLOOKUP($A5,'Present Values'!$A:$F,4)/VLOOKUP($A5,'Present Values'!$A:$F,2),2)</f>
        <v>1.4</v>
      </c>
      <c r="FP5">
        <f>ROUND(BN5*VLOOKUP($A5,'Present Values'!$A:$F,4)/VLOOKUP($A5,'Present Values'!$A:$F,2),2)</f>
        <v>0.21</v>
      </c>
      <c r="FQ5">
        <f>ROUND(BO5*VLOOKUP($A5,'Present Values'!$A:$F,4)/VLOOKUP($A5,'Present Values'!$A:$F,2),2)</f>
        <v>0</v>
      </c>
      <c r="FR5">
        <f>ROUND(BP5*VLOOKUP($A5,'Present Values'!$A:$F,4)/VLOOKUP($A5,'Present Values'!$A:$F,2),2)</f>
        <v>0</v>
      </c>
      <c r="FS5">
        <f>ROUND(BQ5*VLOOKUP($A5,'Present Values'!$A:$F,4)/VLOOKUP($A5,'Present Values'!$A:$F,2),2)</f>
        <v>0</v>
      </c>
      <c r="FT5">
        <f>ROUND(BR5*VLOOKUP($A5,'Present Values'!$A:$F,4)/VLOOKUP($A5,'Present Values'!$A:$F,2),2)</f>
        <v>0</v>
      </c>
      <c r="FU5">
        <f>ROUND(BS5*VLOOKUP($A5,'Present Values'!$A:$F,4)/VLOOKUP($A5,'Present Values'!$A:$F,2),2)</f>
        <v>0</v>
      </c>
      <c r="FV5">
        <f>ROUND(BT5*VLOOKUP($A5,'Present Values'!$A:$F,4)/VLOOKUP($A5,'Present Values'!$A:$F,2),2)</f>
        <v>0</v>
      </c>
      <c r="FW5">
        <f>ROUND(BU5*VLOOKUP($A5,'Present Values'!$A:$F,4)/VLOOKUP($A5,'Present Values'!$A:$F,2),2)</f>
        <v>0</v>
      </c>
      <c r="FX5">
        <f>ROUND(BV5*VLOOKUP($A5,'Present Values'!$A:$F,4)/VLOOKUP($A5,'Present Values'!$A:$F,2),2)</f>
        <v>0</v>
      </c>
      <c r="FY5">
        <f>ROUND(BW5*VLOOKUP($A5,'Present Values'!$A:$F,4)/VLOOKUP($A5,'Present Values'!$A:$F,2),2)</f>
        <v>0</v>
      </c>
      <c r="FZ5">
        <f>ROUND(BX5*VLOOKUP($A5,'Present Values'!$A:$F,4)/VLOOKUP($A5,'Present Values'!$A:$F,2),2)</f>
        <v>0</v>
      </c>
      <c r="GA5">
        <f>ROUND(BY5*VLOOKUP($A5,'Present Values'!$A:$F,4)/VLOOKUP($A5,'Present Values'!$A:$F,2),2)</f>
        <v>0</v>
      </c>
      <c r="GB5">
        <f>ROUND(BZ5*VLOOKUP($A5,'Present Values'!$A:$F,4)/VLOOKUP($A5,'Present Values'!$A:$F,2),2)</f>
        <v>0</v>
      </c>
      <c r="GC5">
        <f>ROUND(CA5*VLOOKUP($A5,'Present Values'!$A:$F,4)/VLOOKUP($A5,'Present Values'!$A:$F,2),2)</f>
        <v>0</v>
      </c>
      <c r="GD5">
        <f>ROUND(CB5*VLOOKUP($A5,'Present Values'!$A:$F,4)/VLOOKUP($A5,'Present Values'!$A:$F,2),2)</f>
        <v>0</v>
      </c>
      <c r="GE5">
        <f>ROUND(CC5*VLOOKUP($A5,'Present Values'!$A:$F,4)/VLOOKUP($A5,'Present Values'!$A:$F,2),2)</f>
        <v>0</v>
      </c>
      <c r="GF5">
        <f>ROUND(CD5*VLOOKUP($A5,'Present Values'!$A:$F,4)/VLOOKUP($A5,'Present Values'!$A:$F,2),2)</f>
        <v>0</v>
      </c>
      <c r="GG5">
        <f>ROUND(CE5*VLOOKUP($A5,'Present Values'!$A:$F,4)/VLOOKUP($A5,'Present Values'!$A:$F,2),2)</f>
        <v>0</v>
      </c>
      <c r="GH5">
        <f>ROUND(CF5*VLOOKUP($A5,'Present Values'!$A:$F,4)/VLOOKUP($A5,'Present Values'!$A:$F,2),2)</f>
        <v>0</v>
      </c>
      <c r="GI5">
        <f>ROUND(CG5*VLOOKUP($A5,'Present Values'!$A:$F,4)/VLOOKUP($A5,'Present Values'!$A:$F,2),2)</f>
        <v>0</v>
      </c>
      <c r="GJ5">
        <f>ROUND(CH5*VLOOKUP($A5,'Present Values'!$A:$F,4)/VLOOKUP($A5,'Present Values'!$A:$F,2),2)</f>
        <v>0</v>
      </c>
      <c r="GK5">
        <f>ROUND(CI5*VLOOKUP($A5,'Present Values'!$A:$F,4)/VLOOKUP($A5,'Present Values'!$A:$F,2),2)</f>
        <v>0</v>
      </c>
      <c r="GL5">
        <f>ROUND(CJ5*VLOOKUP($A5,'Present Values'!$A:$F,4)/VLOOKUP($A5,'Present Values'!$A:$F,2),2)</f>
        <v>0</v>
      </c>
      <c r="GM5">
        <f>ROUND(CK5*VLOOKUP($A5,'Present Values'!$A:$F,4)/VLOOKUP($A5,'Present Values'!$A:$F,2),2)</f>
        <v>0</v>
      </c>
      <c r="GN5">
        <f>ROUND(CL5*VLOOKUP($A5,'Present Values'!$A:$F,4)/VLOOKUP($A5,'Present Values'!$A:$F,2),2)</f>
        <v>0</v>
      </c>
      <c r="GO5">
        <f>ROUND(CM5*VLOOKUP($A5,'Present Values'!$A:$F,4)/VLOOKUP($A5,'Present Values'!$A:$F,2),2)</f>
        <v>0</v>
      </c>
      <c r="GP5">
        <f>ROUND(CN5*VLOOKUP($A5,'Present Values'!$A:$F,4)/VLOOKUP($A5,'Present Values'!$A:$F,2),2)</f>
        <v>0</v>
      </c>
      <c r="GQ5">
        <f>ROUND(CO5*VLOOKUP($A5,'Present Values'!$A:$F,4)/VLOOKUP($A5,'Present Values'!$A:$F,2),2)</f>
        <v>0</v>
      </c>
      <c r="GR5">
        <f>ROUND(CP5*VLOOKUP($A5,'Present Values'!$A:$F,4)/VLOOKUP($A5,'Present Values'!$A:$F,2),2)</f>
        <v>0</v>
      </c>
      <c r="GS5">
        <f>ROUND(CQ5*VLOOKUP($A5,'Present Values'!$A:$F,4)/VLOOKUP($A5,'Present Values'!$A:$F,2),2)</f>
        <v>0</v>
      </c>
      <c r="GT5">
        <f>ROUND(CR5*VLOOKUP($A5,'Present Values'!$A:$F,4)/VLOOKUP($A5,'Present Values'!$A:$F,2),2)</f>
        <v>0</v>
      </c>
      <c r="GU5">
        <f>ROUND(CS5*VLOOKUP($A5,'Present Values'!$A:$F,4)/VLOOKUP($A5,'Present Values'!$A:$F,2),2)</f>
        <v>0</v>
      </c>
      <c r="GV5">
        <f>ROUND(CT5*VLOOKUP($A5,'Present Values'!$A:$F,4)/VLOOKUP($A5,'Present Values'!$A:$F,2),2)</f>
        <v>0</v>
      </c>
      <c r="GW5">
        <f>ROUND(CU5*VLOOKUP($A5,'Present Values'!$A:$F,4)/VLOOKUP($A5,'Present Values'!$A:$F,2),2)</f>
        <v>0</v>
      </c>
      <c r="GX5">
        <f>ROUND(CV5*VLOOKUP($A5,'Present Values'!$A:$F,4)/VLOOKUP($A5,'Present Values'!$A:$F,2),2)</f>
        <v>0</v>
      </c>
      <c r="GY5">
        <f>ROUND(CW5*VLOOKUP($A5,'Present Values'!$A:$F,4)/VLOOKUP($A5,'Present Values'!$A:$F,2),2)</f>
        <v>0</v>
      </c>
      <c r="HA5" s="3">
        <f>NPV(Assumptions!$C$9, DD5:GY5)*(1+Assumptions!$C$9)</f>
        <v>111454.1082334963</v>
      </c>
      <c r="HB5" s="12">
        <f>'Present Values'!D5</f>
        <v>111454.1</v>
      </c>
      <c r="HD5" s="3">
        <f>NPV(Assumptions!$C$9+0.01,Payouts!$B5:$CW5)*(1.01+Assumptions!$C$9)</f>
        <v>119359.686597832</v>
      </c>
      <c r="HE5" s="3">
        <f>NPV(Assumptions!$C$9-0.01,Payouts!$B5:$CW5)*(0.99+Assumptions!$C$9)</f>
        <v>206644.59718672451</v>
      </c>
      <c r="HG5" s="3">
        <f>IF(AND(AMMset!D2&gt;0,'Present Values'!F5&gt;0),NPV(Assumptions!$C$9+0.01,Payouts!$DD5:$GY5)*(1.01+Assumptions!$C$9)/AMMset!D2, 0)</f>
        <v>8525.6929692228914</v>
      </c>
      <c r="HH5" s="3">
        <f>IF(AND(AMMset!D2&gt;0,'Present Values'!F5&gt;0),NPV(Assumptions!$C$9-0.01,Payouts!$DD5:$GY5)*(0.99+Assumptions!$C$9)/AMMset!D2, 0)</f>
        <v>14760.330339477234</v>
      </c>
      <c r="HJ5" s="12">
        <v>6511.25</v>
      </c>
      <c r="HK5" s="12">
        <v>9241.08</v>
      </c>
      <c r="HM5" s="12">
        <v>36995.43</v>
      </c>
      <c r="HN5" s="12">
        <v>70497.7</v>
      </c>
    </row>
    <row r="6" spans="1:222" x14ac:dyDescent="0.25">
      <c r="A6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207.61</v>
      </c>
      <c r="Z6">
        <v>421.34</v>
      </c>
      <c r="AA6">
        <v>711.3</v>
      </c>
      <c r="AB6">
        <v>987.65</v>
      </c>
      <c r="AC6">
        <v>1435.07</v>
      </c>
      <c r="AD6">
        <v>2128.77</v>
      </c>
      <c r="AE6">
        <v>2757.47</v>
      </c>
      <c r="AF6">
        <v>3615.87</v>
      </c>
      <c r="AG6">
        <v>4628.22</v>
      </c>
      <c r="AH6">
        <v>5892.01</v>
      </c>
      <c r="AI6">
        <v>7912.81</v>
      </c>
      <c r="AJ6">
        <v>10327.92</v>
      </c>
      <c r="AK6">
        <v>13802.2</v>
      </c>
      <c r="AL6">
        <v>16724.61</v>
      </c>
      <c r="AM6">
        <v>7834.46</v>
      </c>
      <c r="AN6">
        <v>8799.3799999999992</v>
      </c>
      <c r="AO6">
        <v>9497.43</v>
      </c>
      <c r="AP6">
        <v>10197.06</v>
      </c>
      <c r="AQ6">
        <v>10789.26</v>
      </c>
      <c r="AR6">
        <v>11376.12</v>
      </c>
      <c r="AS6">
        <v>11958.03</v>
      </c>
      <c r="AT6">
        <v>12522.37</v>
      </c>
      <c r="AU6">
        <v>13087.28</v>
      </c>
      <c r="AV6">
        <v>13638.99</v>
      </c>
      <c r="AW6">
        <v>14187.51</v>
      </c>
      <c r="AX6">
        <v>14774.59</v>
      </c>
      <c r="AY6">
        <v>15288.39</v>
      </c>
      <c r="AZ6">
        <v>15785.86</v>
      </c>
      <c r="BA6">
        <v>16261.37</v>
      </c>
      <c r="BB6">
        <v>16707.810000000001</v>
      </c>
      <c r="BC6">
        <v>17115.22</v>
      </c>
      <c r="BD6">
        <v>17470.8</v>
      </c>
      <c r="BE6">
        <v>17759.86</v>
      </c>
      <c r="BF6">
        <v>17967.509999999998</v>
      </c>
      <c r="BG6">
        <v>18077.13</v>
      </c>
      <c r="BH6">
        <v>18071.46</v>
      </c>
      <c r="BI6">
        <v>17933.66</v>
      </c>
      <c r="BJ6">
        <v>17648.02</v>
      </c>
      <c r="BK6">
        <v>17201.97</v>
      </c>
      <c r="BL6">
        <v>16587.52</v>
      </c>
      <c r="BM6">
        <v>15769.63</v>
      </c>
      <c r="BN6">
        <v>14755.32</v>
      </c>
      <c r="BO6">
        <v>13564.03</v>
      </c>
      <c r="BP6">
        <v>12225.51</v>
      </c>
      <c r="BQ6">
        <v>10777.62</v>
      </c>
      <c r="BR6">
        <v>9268.1200000000008</v>
      </c>
      <c r="BS6">
        <v>7755.61</v>
      </c>
      <c r="BT6">
        <v>6303.7</v>
      </c>
      <c r="BU6">
        <v>5004.5</v>
      </c>
      <c r="BV6">
        <v>3855.11</v>
      </c>
      <c r="BW6">
        <v>2846.31</v>
      </c>
      <c r="BX6">
        <v>1994.47</v>
      </c>
      <c r="BY6">
        <v>1319.69</v>
      </c>
      <c r="BZ6">
        <v>793.51</v>
      </c>
      <c r="CA6">
        <v>422.91</v>
      </c>
      <c r="CB6">
        <v>195.9</v>
      </c>
      <c r="CC6">
        <v>77.86</v>
      </c>
      <c r="CD6">
        <v>25.26</v>
      </c>
      <c r="CE6">
        <v>6.14</v>
      </c>
      <c r="CF6">
        <v>0.94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Y6" s="3">
        <f>NPV(Assumptions!$C$9, B6:CW6)*(1+Assumptions!$C$9)</f>
        <v>88192.125028162089</v>
      </c>
      <c r="CZ6" s="12">
        <f>'Present Values'!B6</f>
        <v>88192.12</v>
      </c>
      <c r="DD6">
        <f>ROUND(B6*VLOOKUP($A6,'Present Values'!$A:$F,4)/VLOOKUP($A6,'Present Values'!$A:$F,2),2)</f>
        <v>0</v>
      </c>
      <c r="DE6">
        <f>ROUND(C6*VLOOKUP($A6,'Present Values'!$A:$F,4)/VLOOKUP($A6,'Present Values'!$A:$F,2),2)</f>
        <v>0</v>
      </c>
      <c r="DF6">
        <f>ROUND(D6*VLOOKUP($A6,'Present Values'!$A:$F,4)/VLOOKUP($A6,'Present Values'!$A:$F,2),2)</f>
        <v>0</v>
      </c>
      <c r="DG6">
        <f>ROUND(E6*VLOOKUP($A6,'Present Values'!$A:$F,4)/VLOOKUP($A6,'Present Values'!$A:$F,2),2)</f>
        <v>0</v>
      </c>
      <c r="DH6">
        <f>ROUND(F6*VLOOKUP($A6,'Present Values'!$A:$F,4)/VLOOKUP($A6,'Present Values'!$A:$F,2),2)</f>
        <v>0</v>
      </c>
      <c r="DI6">
        <f>ROUND(G6*VLOOKUP($A6,'Present Values'!$A:$F,4)/VLOOKUP($A6,'Present Values'!$A:$F,2),2)</f>
        <v>0</v>
      </c>
      <c r="DJ6">
        <f>ROUND(H6*VLOOKUP($A6,'Present Values'!$A:$F,4)/VLOOKUP($A6,'Present Values'!$A:$F,2),2)</f>
        <v>0</v>
      </c>
      <c r="DK6">
        <f>ROUND(I6*VLOOKUP($A6,'Present Values'!$A:$F,4)/VLOOKUP($A6,'Present Values'!$A:$F,2),2)</f>
        <v>0</v>
      </c>
      <c r="DL6">
        <f>ROUND(J6*VLOOKUP($A6,'Present Values'!$A:$F,4)/VLOOKUP($A6,'Present Values'!$A:$F,2),2)</f>
        <v>0</v>
      </c>
      <c r="DM6">
        <f>ROUND(K6*VLOOKUP($A6,'Present Values'!$A:$F,4)/VLOOKUP($A6,'Present Values'!$A:$F,2),2)</f>
        <v>0</v>
      </c>
      <c r="DN6">
        <f>ROUND(L6*VLOOKUP($A6,'Present Values'!$A:$F,4)/VLOOKUP($A6,'Present Values'!$A:$F,2),2)</f>
        <v>0</v>
      </c>
      <c r="DO6">
        <f>ROUND(M6*VLOOKUP($A6,'Present Values'!$A:$F,4)/VLOOKUP($A6,'Present Values'!$A:$F,2),2)</f>
        <v>0</v>
      </c>
      <c r="DP6">
        <f>ROUND(N6*VLOOKUP($A6,'Present Values'!$A:$F,4)/VLOOKUP($A6,'Present Values'!$A:$F,2),2)</f>
        <v>0</v>
      </c>
      <c r="DQ6">
        <f>ROUND(O6*VLOOKUP($A6,'Present Values'!$A:$F,4)/VLOOKUP($A6,'Present Values'!$A:$F,2),2)</f>
        <v>0</v>
      </c>
      <c r="DR6">
        <f>ROUND(P6*VLOOKUP($A6,'Present Values'!$A:$F,4)/VLOOKUP($A6,'Present Values'!$A:$F,2),2)</f>
        <v>0</v>
      </c>
      <c r="DS6">
        <f>ROUND(Q6*VLOOKUP($A6,'Present Values'!$A:$F,4)/VLOOKUP($A6,'Present Values'!$A:$F,2),2)</f>
        <v>0</v>
      </c>
      <c r="DT6">
        <f>ROUND(R6*VLOOKUP($A6,'Present Values'!$A:$F,4)/VLOOKUP($A6,'Present Values'!$A:$F,2),2)</f>
        <v>0</v>
      </c>
      <c r="DU6">
        <f>ROUND(S6*VLOOKUP($A6,'Present Values'!$A:$F,4)/VLOOKUP($A6,'Present Values'!$A:$F,2),2)</f>
        <v>0</v>
      </c>
      <c r="DV6">
        <f>ROUND(T6*VLOOKUP($A6,'Present Values'!$A:$F,4)/VLOOKUP($A6,'Present Values'!$A:$F,2),2)</f>
        <v>0</v>
      </c>
      <c r="DW6">
        <f>ROUND(U6*VLOOKUP($A6,'Present Values'!$A:$F,4)/VLOOKUP($A6,'Present Values'!$A:$F,2),2)</f>
        <v>0</v>
      </c>
      <c r="DX6">
        <f>ROUND(V6*VLOOKUP($A6,'Present Values'!$A:$F,4)/VLOOKUP($A6,'Present Values'!$A:$F,2),2)</f>
        <v>0</v>
      </c>
      <c r="DY6">
        <f>ROUND(W6*VLOOKUP($A6,'Present Values'!$A:$F,4)/VLOOKUP($A6,'Present Values'!$A:$F,2),2)</f>
        <v>0</v>
      </c>
      <c r="DZ6">
        <f>ROUND(X6*VLOOKUP($A6,'Present Values'!$A:$F,4)/VLOOKUP($A6,'Present Values'!$A:$F,2),2)</f>
        <v>0</v>
      </c>
      <c r="EA6">
        <f>ROUND(Y6*VLOOKUP($A6,'Present Values'!$A:$F,4)/VLOOKUP($A6,'Present Values'!$A:$F,2),2)</f>
        <v>24.91</v>
      </c>
      <c r="EB6">
        <f>ROUND(Z6*VLOOKUP($A6,'Present Values'!$A:$F,4)/VLOOKUP($A6,'Present Values'!$A:$F,2),2)</f>
        <v>50.56</v>
      </c>
      <c r="EC6">
        <f>ROUND(AA6*VLOOKUP($A6,'Present Values'!$A:$F,4)/VLOOKUP($A6,'Present Values'!$A:$F,2),2)</f>
        <v>85.36</v>
      </c>
      <c r="ED6">
        <f>ROUND(AB6*VLOOKUP($A6,'Present Values'!$A:$F,4)/VLOOKUP($A6,'Present Values'!$A:$F,2),2)</f>
        <v>118.52</v>
      </c>
      <c r="EE6">
        <f>ROUND(AC6*VLOOKUP($A6,'Present Values'!$A:$F,4)/VLOOKUP($A6,'Present Values'!$A:$F,2),2)</f>
        <v>172.21</v>
      </c>
      <c r="EF6">
        <f>ROUND(AD6*VLOOKUP($A6,'Present Values'!$A:$F,4)/VLOOKUP($A6,'Present Values'!$A:$F,2),2)</f>
        <v>255.45</v>
      </c>
      <c r="EG6">
        <f>ROUND(AE6*VLOOKUP($A6,'Present Values'!$A:$F,4)/VLOOKUP($A6,'Present Values'!$A:$F,2),2)</f>
        <v>330.9</v>
      </c>
      <c r="EH6">
        <f>ROUND(AF6*VLOOKUP($A6,'Present Values'!$A:$F,4)/VLOOKUP($A6,'Present Values'!$A:$F,2),2)</f>
        <v>433.9</v>
      </c>
      <c r="EI6">
        <f>ROUND(AG6*VLOOKUP($A6,'Present Values'!$A:$F,4)/VLOOKUP($A6,'Present Values'!$A:$F,2),2)</f>
        <v>555.39</v>
      </c>
      <c r="EJ6">
        <f>ROUND(AH6*VLOOKUP($A6,'Present Values'!$A:$F,4)/VLOOKUP($A6,'Present Values'!$A:$F,2),2)</f>
        <v>707.04</v>
      </c>
      <c r="EK6">
        <f>ROUND(AI6*VLOOKUP($A6,'Present Values'!$A:$F,4)/VLOOKUP($A6,'Present Values'!$A:$F,2),2)</f>
        <v>949.54</v>
      </c>
      <c r="EL6">
        <f>ROUND(AJ6*VLOOKUP($A6,'Present Values'!$A:$F,4)/VLOOKUP($A6,'Present Values'!$A:$F,2),2)</f>
        <v>1239.3499999999999</v>
      </c>
      <c r="EM6">
        <f>ROUND(AK6*VLOOKUP($A6,'Present Values'!$A:$F,4)/VLOOKUP($A6,'Present Values'!$A:$F,2),2)</f>
        <v>1656.26</v>
      </c>
      <c r="EN6">
        <f>ROUND(AL6*VLOOKUP($A6,'Present Values'!$A:$F,4)/VLOOKUP($A6,'Present Values'!$A:$F,2),2)</f>
        <v>2006.95</v>
      </c>
      <c r="EO6">
        <f>ROUND(AM6*VLOOKUP($A6,'Present Values'!$A:$F,4)/VLOOKUP($A6,'Present Values'!$A:$F,2),2)</f>
        <v>940.13</v>
      </c>
      <c r="EP6">
        <f>ROUND(AN6*VLOOKUP($A6,'Present Values'!$A:$F,4)/VLOOKUP($A6,'Present Values'!$A:$F,2),2)</f>
        <v>1055.92</v>
      </c>
      <c r="EQ6">
        <f>ROUND(AO6*VLOOKUP($A6,'Present Values'!$A:$F,4)/VLOOKUP($A6,'Present Values'!$A:$F,2),2)</f>
        <v>1139.69</v>
      </c>
      <c r="ER6">
        <f>ROUND(AP6*VLOOKUP($A6,'Present Values'!$A:$F,4)/VLOOKUP($A6,'Present Values'!$A:$F,2),2)</f>
        <v>1223.6500000000001</v>
      </c>
      <c r="ES6">
        <f>ROUND(AQ6*VLOOKUP($A6,'Present Values'!$A:$F,4)/VLOOKUP($A6,'Present Values'!$A:$F,2),2)</f>
        <v>1294.71</v>
      </c>
      <c r="ET6">
        <f>ROUND(AR6*VLOOKUP($A6,'Present Values'!$A:$F,4)/VLOOKUP($A6,'Present Values'!$A:$F,2),2)</f>
        <v>1365.13</v>
      </c>
      <c r="EU6">
        <f>ROUND(AS6*VLOOKUP($A6,'Present Values'!$A:$F,4)/VLOOKUP($A6,'Present Values'!$A:$F,2),2)</f>
        <v>1434.96</v>
      </c>
      <c r="EV6">
        <f>ROUND(AT6*VLOOKUP($A6,'Present Values'!$A:$F,4)/VLOOKUP($A6,'Present Values'!$A:$F,2),2)</f>
        <v>1502.68</v>
      </c>
      <c r="EW6">
        <f>ROUND(AU6*VLOOKUP($A6,'Present Values'!$A:$F,4)/VLOOKUP($A6,'Present Values'!$A:$F,2),2)</f>
        <v>1570.47</v>
      </c>
      <c r="EX6">
        <f>ROUND(AV6*VLOOKUP($A6,'Present Values'!$A:$F,4)/VLOOKUP($A6,'Present Values'!$A:$F,2),2)</f>
        <v>1636.68</v>
      </c>
      <c r="EY6">
        <f>ROUND(AW6*VLOOKUP($A6,'Present Values'!$A:$F,4)/VLOOKUP($A6,'Present Values'!$A:$F,2),2)</f>
        <v>1702.5</v>
      </c>
      <c r="EZ6">
        <f>ROUND(AX6*VLOOKUP($A6,'Present Values'!$A:$F,4)/VLOOKUP($A6,'Present Values'!$A:$F,2),2)</f>
        <v>1772.95</v>
      </c>
      <c r="FA6">
        <f>ROUND(AY6*VLOOKUP($A6,'Present Values'!$A:$F,4)/VLOOKUP($A6,'Present Values'!$A:$F,2),2)</f>
        <v>1834.6</v>
      </c>
      <c r="FB6">
        <f>ROUND(AZ6*VLOOKUP($A6,'Present Values'!$A:$F,4)/VLOOKUP($A6,'Present Values'!$A:$F,2),2)</f>
        <v>1894.3</v>
      </c>
      <c r="FC6">
        <f>ROUND(BA6*VLOOKUP($A6,'Present Values'!$A:$F,4)/VLOOKUP($A6,'Present Values'!$A:$F,2),2)</f>
        <v>1951.36</v>
      </c>
      <c r="FD6">
        <f>ROUND(BB6*VLOOKUP($A6,'Present Values'!$A:$F,4)/VLOOKUP($A6,'Present Values'!$A:$F,2),2)</f>
        <v>2004.93</v>
      </c>
      <c r="FE6">
        <f>ROUND(BC6*VLOOKUP($A6,'Present Values'!$A:$F,4)/VLOOKUP($A6,'Present Values'!$A:$F,2),2)</f>
        <v>2053.8200000000002</v>
      </c>
      <c r="FF6">
        <f>ROUND(BD6*VLOOKUP($A6,'Present Values'!$A:$F,4)/VLOOKUP($A6,'Present Values'!$A:$F,2),2)</f>
        <v>2096.4899999999998</v>
      </c>
      <c r="FG6">
        <f>ROUND(BE6*VLOOKUP($A6,'Present Values'!$A:$F,4)/VLOOKUP($A6,'Present Values'!$A:$F,2),2)</f>
        <v>2131.1799999999998</v>
      </c>
      <c r="FH6">
        <f>ROUND(BF6*VLOOKUP($A6,'Present Values'!$A:$F,4)/VLOOKUP($A6,'Present Values'!$A:$F,2),2)</f>
        <v>2156.1</v>
      </c>
      <c r="FI6">
        <f>ROUND(BG6*VLOOKUP($A6,'Present Values'!$A:$F,4)/VLOOKUP($A6,'Present Values'!$A:$F,2),2)</f>
        <v>2169.25</v>
      </c>
      <c r="FJ6">
        <f>ROUND(BH6*VLOOKUP($A6,'Present Values'!$A:$F,4)/VLOOKUP($A6,'Present Values'!$A:$F,2),2)</f>
        <v>2168.5700000000002</v>
      </c>
      <c r="FK6">
        <f>ROUND(BI6*VLOOKUP($A6,'Present Values'!$A:$F,4)/VLOOKUP($A6,'Present Values'!$A:$F,2),2)</f>
        <v>2152.04</v>
      </c>
      <c r="FL6">
        <f>ROUND(BJ6*VLOOKUP($A6,'Present Values'!$A:$F,4)/VLOOKUP($A6,'Present Values'!$A:$F,2),2)</f>
        <v>2117.7600000000002</v>
      </c>
      <c r="FM6">
        <f>ROUND(BK6*VLOOKUP($A6,'Present Values'!$A:$F,4)/VLOOKUP($A6,'Present Values'!$A:$F,2),2)</f>
        <v>2064.23</v>
      </c>
      <c r="FN6">
        <f>ROUND(BL6*VLOOKUP($A6,'Present Values'!$A:$F,4)/VLOOKUP($A6,'Present Values'!$A:$F,2),2)</f>
        <v>1990.5</v>
      </c>
      <c r="FO6">
        <f>ROUND(BM6*VLOOKUP($A6,'Present Values'!$A:$F,4)/VLOOKUP($A6,'Present Values'!$A:$F,2),2)</f>
        <v>1892.35</v>
      </c>
      <c r="FP6">
        <f>ROUND(BN6*VLOOKUP($A6,'Present Values'!$A:$F,4)/VLOOKUP($A6,'Present Values'!$A:$F,2),2)</f>
        <v>1770.64</v>
      </c>
      <c r="FQ6">
        <f>ROUND(BO6*VLOOKUP($A6,'Present Values'!$A:$F,4)/VLOOKUP($A6,'Present Values'!$A:$F,2),2)</f>
        <v>1627.68</v>
      </c>
      <c r="FR6">
        <f>ROUND(BP6*VLOOKUP($A6,'Present Values'!$A:$F,4)/VLOOKUP($A6,'Present Values'!$A:$F,2),2)</f>
        <v>1467.06</v>
      </c>
      <c r="FS6">
        <f>ROUND(BQ6*VLOOKUP($A6,'Present Values'!$A:$F,4)/VLOOKUP($A6,'Present Values'!$A:$F,2),2)</f>
        <v>1293.31</v>
      </c>
      <c r="FT6">
        <f>ROUND(BR6*VLOOKUP($A6,'Present Values'!$A:$F,4)/VLOOKUP($A6,'Present Values'!$A:$F,2),2)</f>
        <v>1112.17</v>
      </c>
      <c r="FU6">
        <f>ROUND(BS6*VLOOKUP($A6,'Present Values'!$A:$F,4)/VLOOKUP($A6,'Present Values'!$A:$F,2),2)</f>
        <v>930.67</v>
      </c>
      <c r="FV6">
        <f>ROUND(BT6*VLOOKUP($A6,'Present Values'!$A:$F,4)/VLOOKUP($A6,'Present Values'!$A:$F,2),2)</f>
        <v>756.44</v>
      </c>
      <c r="FW6">
        <f>ROUND(BU6*VLOOKUP($A6,'Present Values'!$A:$F,4)/VLOOKUP($A6,'Present Values'!$A:$F,2),2)</f>
        <v>600.54</v>
      </c>
      <c r="FX6">
        <f>ROUND(BV6*VLOOKUP($A6,'Present Values'!$A:$F,4)/VLOOKUP($A6,'Present Values'!$A:$F,2),2)</f>
        <v>462.61</v>
      </c>
      <c r="FY6">
        <f>ROUND(BW6*VLOOKUP($A6,'Present Values'!$A:$F,4)/VLOOKUP($A6,'Present Values'!$A:$F,2),2)</f>
        <v>341.56</v>
      </c>
      <c r="FZ6">
        <f>ROUND(BX6*VLOOKUP($A6,'Present Values'!$A:$F,4)/VLOOKUP($A6,'Present Values'!$A:$F,2),2)</f>
        <v>239.34</v>
      </c>
      <c r="GA6">
        <f>ROUND(BY6*VLOOKUP($A6,'Present Values'!$A:$F,4)/VLOOKUP($A6,'Present Values'!$A:$F,2),2)</f>
        <v>158.36000000000001</v>
      </c>
      <c r="GB6">
        <f>ROUND(BZ6*VLOOKUP($A6,'Present Values'!$A:$F,4)/VLOOKUP($A6,'Present Values'!$A:$F,2),2)</f>
        <v>95.22</v>
      </c>
      <c r="GC6">
        <f>ROUND(CA6*VLOOKUP($A6,'Present Values'!$A:$F,4)/VLOOKUP($A6,'Present Values'!$A:$F,2),2)</f>
        <v>50.75</v>
      </c>
      <c r="GD6">
        <f>ROUND(CB6*VLOOKUP($A6,'Present Values'!$A:$F,4)/VLOOKUP($A6,'Present Values'!$A:$F,2),2)</f>
        <v>23.51</v>
      </c>
      <c r="GE6">
        <f>ROUND(CC6*VLOOKUP($A6,'Present Values'!$A:$F,4)/VLOOKUP($A6,'Present Values'!$A:$F,2),2)</f>
        <v>9.34</v>
      </c>
      <c r="GF6">
        <f>ROUND(CD6*VLOOKUP($A6,'Present Values'!$A:$F,4)/VLOOKUP($A6,'Present Values'!$A:$F,2),2)</f>
        <v>3.03</v>
      </c>
      <c r="GG6">
        <f>ROUND(CE6*VLOOKUP($A6,'Present Values'!$A:$F,4)/VLOOKUP($A6,'Present Values'!$A:$F,2),2)</f>
        <v>0.74</v>
      </c>
      <c r="GH6">
        <f>ROUND(CF6*VLOOKUP($A6,'Present Values'!$A:$F,4)/VLOOKUP($A6,'Present Values'!$A:$F,2),2)</f>
        <v>0.11</v>
      </c>
      <c r="GI6">
        <f>ROUND(CG6*VLOOKUP($A6,'Present Values'!$A:$F,4)/VLOOKUP($A6,'Present Values'!$A:$F,2),2)</f>
        <v>0</v>
      </c>
      <c r="GJ6">
        <f>ROUND(CH6*VLOOKUP($A6,'Present Values'!$A:$F,4)/VLOOKUP($A6,'Present Values'!$A:$F,2),2)</f>
        <v>0</v>
      </c>
      <c r="GK6">
        <f>ROUND(CI6*VLOOKUP($A6,'Present Values'!$A:$F,4)/VLOOKUP($A6,'Present Values'!$A:$F,2),2)</f>
        <v>0</v>
      </c>
      <c r="GL6">
        <f>ROUND(CJ6*VLOOKUP($A6,'Present Values'!$A:$F,4)/VLOOKUP($A6,'Present Values'!$A:$F,2),2)</f>
        <v>0</v>
      </c>
      <c r="GM6">
        <f>ROUND(CK6*VLOOKUP($A6,'Present Values'!$A:$F,4)/VLOOKUP($A6,'Present Values'!$A:$F,2),2)</f>
        <v>0</v>
      </c>
      <c r="GN6">
        <f>ROUND(CL6*VLOOKUP($A6,'Present Values'!$A:$F,4)/VLOOKUP($A6,'Present Values'!$A:$F,2),2)</f>
        <v>0</v>
      </c>
      <c r="GO6">
        <f>ROUND(CM6*VLOOKUP($A6,'Present Values'!$A:$F,4)/VLOOKUP($A6,'Present Values'!$A:$F,2),2)</f>
        <v>0</v>
      </c>
      <c r="GP6">
        <f>ROUND(CN6*VLOOKUP($A6,'Present Values'!$A:$F,4)/VLOOKUP($A6,'Present Values'!$A:$F,2),2)</f>
        <v>0</v>
      </c>
      <c r="GQ6">
        <f>ROUND(CO6*VLOOKUP($A6,'Present Values'!$A:$F,4)/VLOOKUP($A6,'Present Values'!$A:$F,2),2)</f>
        <v>0</v>
      </c>
      <c r="GR6">
        <f>ROUND(CP6*VLOOKUP($A6,'Present Values'!$A:$F,4)/VLOOKUP($A6,'Present Values'!$A:$F,2),2)</f>
        <v>0</v>
      </c>
      <c r="GS6">
        <f>ROUND(CQ6*VLOOKUP($A6,'Present Values'!$A:$F,4)/VLOOKUP($A6,'Present Values'!$A:$F,2),2)</f>
        <v>0</v>
      </c>
      <c r="GT6">
        <f>ROUND(CR6*VLOOKUP($A6,'Present Values'!$A:$F,4)/VLOOKUP($A6,'Present Values'!$A:$F,2),2)</f>
        <v>0</v>
      </c>
      <c r="GU6">
        <f>ROUND(CS6*VLOOKUP($A6,'Present Values'!$A:$F,4)/VLOOKUP($A6,'Present Values'!$A:$F,2),2)</f>
        <v>0</v>
      </c>
      <c r="GV6">
        <f>ROUND(CT6*VLOOKUP($A6,'Present Values'!$A:$F,4)/VLOOKUP($A6,'Present Values'!$A:$F,2),2)</f>
        <v>0</v>
      </c>
      <c r="GW6">
        <f>ROUND(CU6*VLOOKUP($A6,'Present Values'!$A:$F,4)/VLOOKUP($A6,'Present Values'!$A:$F,2),2)</f>
        <v>0</v>
      </c>
      <c r="GX6">
        <f>ROUND(CV6*VLOOKUP($A6,'Present Values'!$A:$F,4)/VLOOKUP($A6,'Present Values'!$A:$F,2),2)</f>
        <v>0</v>
      </c>
      <c r="GY6">
        <f>ROUND(CW6*VLOOKUP($A6,'Present Values'!$A:$F,4)/VLOOKUP($A6,'Present Values'!$A:$F,2),2)</f>
        <v>0</v>
      </c>
      <c r="HA6" s="3">
        <f>NPV(Assumptions!$C$9, DD6:GY6)*(1+Assumptions!$C$9)</f>
        <v>10583.038755434012</v>
      </c>
      <c r="HB6" s="12">
        <f>'Present Values'!D6</f>
        <v>10583.04</v>
      </c>
      <c r="HD6" s="3">
        <f>NPV(Assumptions!$C$9+0.01,Payouts!$B6:$CW6)*(1.01+Assumptions!$C$9)</f>
        <v>56502.912934517612</v>
      </c>
      <c r="HE6" s="3">
        <f>NPV(Assumptions!$C$9-0.01,Payouts!$B6:$CW6)*(0.99+Assumptions!$C$9)</f>
        <v>139882.46511986139</v>
      </c>
      <c r="HG6" s="3">
        <f>IF(AND(AMMset!D3&gt;0,'Present Values'!F6&gt;0),NPV(Assumptions!$C$9+0.01,Payouts!$DD6:$GY6)*(1.01+Assumptions!$C$9)/AMMset!D3, 0)</f>
        <v>2260.1131873263712</v>
      </c>
      <c r="HH6" s="3">
        <f>IF(AND(AMMset!D3&gt;0,'Present Values'!F6&gt;0),NPV(Assumptions!$C$9-0.01,Payouts!$DD6:$GY6)*(0.99+Assumptions!$C$9)/AMMset!D3, 0)</f>
        <v>5595.2896885535492</v>
      </c>
      <c r="HJ6" s="12">
        <v>3862.46</v>
      </c>
      <c r="HK6" s="12">
        <v>7569.4</v>
      </c>
      <c r="HM6" s="12">
        <v>7853.89</v>
      </c>
      <c r="HN6" s="12">
        <v>18748.03</v>
      </c>
    </row>
    <row r="7" spans="1:222" x14ac:dyDescent="0.25">
      <c r="A7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186.63</v>
      </c>
      <c r="N7">
        <v>377.4</v>
      </c>
      <c r="O7">
        <v>634.83000000000004</v>
      </c>
      <c r="P7">
        <v>874.31</v>
      </c>
      <c r="Q7">
        <v>1254.76</v>
      </c>
      <c r="R7">
        <v>1885.04</v>
      </c>
      <c r="S7">
        <v>2455.58</v>
      </c>
      <c r="T7">
        <v>3248.24</v>
      </c>
      <c r="U7">
        <v>4183.25</v>
      </c>
      <c r="V7">
        <v>5361.14</v>
      </c>
      <c r="W7">
        <v>7291.13</v>
      </c>
      <c r="X7">
        <v>9662.6</v>
      </c>
      <c r="Y7">
        <v>13207.21</v>
      </c>
      <c r="Z7">
        <v>16396.68</v>
      </c>
      <c r="AA7">
        <v>7832.27</v>
      </c>
      <c r="AB7">
        <v>8990.69</v>
      </c>
      <c r="AC7">
        <v>9821.52</v>
      </c>
      <c r="AD7">
        <v>10667.47</v>
      </c>
      <c r="AE7">
        <v>11350.98</v>
      </c>
      <c r="AF7">
        <v>12024</v>
      </c>
      <c r="AG7">
        <v>12685</v>
      </c>
      <c r="AH7">
        <v>13313.17</v>
      </c>
      <c r="AI7">
        <v>13939.02</v>
      </c>
      <c r="AJ7">
        <v>14541.06</v>
      </c>
      <c r="AK7">
        <v>15139.13</v>
      </c>
      <c r="AL7">
        <v>15807.46</v>
      </c>
      <c r="AM7">
        <v>16357.18</v>
      </c>
      <c r="AN7">
        <v>16889.43</v>
      </c>
      <c r="AO7">
        <v>17398.189999999999</v>
      </c>
      <c r="AP7">
        <v>17875.84</v>
      </c>
      <c r="AQ7">
        <v>18311.72</v>
      </c>
      <c r="AR7">
        <v>18692.16</v>
      </c>
      <c r="AS7">
        <v>19001.419999999998</v>
      </c>
      <c r="AT7">
        <v>19223.599999999999</v>
      </c>
      <c r="AU7">
        <v>19340.87</v>
      </c>
      <c r="AV7">
        <v>19334.810000000001</v>
      </c>
      <c r="AW7">
        <v>19187.38</v>
      </c>
      <c r="AX7">
        <v>18881.77</v>
      </c>
      <c r="AY7">
        <v>18404.54</v>
      </c>
      <c r="AZ7">
        <v>17747.13</v>
      </c>
      <c r="BA7">
        <v>16872.060000000001</v>
      </c>
      <c r="BB7">
        <v>15786.84</v>
      </c>
      <c r="BC7">
        <v>14512.27</v>
      </c>
      <c r="BD7">
        <v>13080.17</v>
      </c>
      <c r="BE7">
        <v>11531.07</v>
      </c>
      <c r="BF7">
        <v>9916.0400000000009</v>
      </c>
      <c r="BG7">
        <v>8297.7900000000009</v>
      </c>
      <c r="BH7">
        <v>6744.39</v>
      </c>
      <c r="BI7">
        <v>5354.36</v>
      </c>
      <c r="BJ7">
        <v>4124.62</v>
      </c>
      <c r="BK7">
        <v>3045.29</v>
      </c>
      <c r="BL7">
        <v>2133.9</v>
      </c>
      <c r="BM7">
        <v>1411.95</v>
      </c>
      <c r="BN7">
        <v>848.98</v>
      </c>
      <c r="BO7">
        <v>452.47</v>
      </c>
      <c r="BP7">
        <v>209.59</v>
      </c>
      <c r="BQ7">
        <v>83.31</v>
      </c>
      <c r="BR7">
        <v>27.02</v>
      </c>
      <c r="BS7">
        <v>6.57</v>
      </c>
      <c r="BT7">
        <v>1.01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Y7" s="3">
        <f>NPV(Assumptions!$C$9, B7:CW7)*(1+Assumptions!$C$9)</f>
        <v>142357.36254551166</v>
      </c>
      <c r="CZ7" s="12">
        <f>'Present Values'!B7</f>
        <v>142357.35999999999</v>
      </c>
      <c r="DD7">
        <f>ROUND(B7*VLOOKUP($A7,'Present Values'!$A:$F,4)/VLOOKUP($A7,'Present Values'!$A:$F,2),2)</f>
        <v>0</v>
      </c>
      <c r="DE7">
        <f>ROUND(C7*VLOOKUP($A7,'Present Values'!$A:$F,4)/VLOOKUP($A7,'Present Values'!$A:$F,2),2)</f>
        <v>0</v>
      </c>
      <c r="DF7">
        <f>ROUND(D7*VLOOKUP($A7,'Present Values'!$A:$F,4)/VLOOKUP($A7,'Present Values'!$A:$F,2),2)</f>
        <v>0</v>
      </c>
      <c r="DG7">
        <f>ROUND(E7*VLOOKUP($A7,'Present Values'!$A:$F,4)/VLOOKUP($A7,'Present Values'!$A:$F,2),2)</f>
        <v>0</v>
      </c>
      <c r="DH7">
        <f>ROUND(F7*VLOOKUP($A7,'Present Values'!$A:$F,4)/VLOOKUP($A7,'Present Values'!$A:$F,2),2)</f>
        <v>0</v>
      </c>
      <c r="DI7">
        <f>ROUND(G7*VLOOKUP($A7,'Present Values'!$A:$F,4)/VLOOKUP($A7,'Present Values'!$A:$F,2),2)</f>
        <v>0</v>
      </c>
      <c r="DJ7">
        <f>ROUND(H7*VLOOKUP($A7,'Present Values'!$A:$F,4)/VLOOKUP($A7,'Present Values'!$A:$F,2),2)</f>
        <v>0</v>
      </c>
      <c r="DK7">
        <f>ROUND(I7*VLOOKUP($A7,'Present Values'!$A:$F,4)/VLOOKUP($A7,'Present Values'!$A:$F,2),2)</f>
        <v>0</v>
      </c>
      <c r="DL7">
        <f>ROUND(J7*VLOOKUP($A7,'Present Values'!$A:$F,4)/VLOOKUP($A7,'Present Values'!$A:$F,2),2)</f>
        <v>0</v>
      </c>
      <c r="DM7">
        <f>ROUND(K7*VLOOKUP($A7,'Present Values'!$A:$F,4)/VLOOKUP($A7,'Present Values'!$A:$F,2),2)</f>
        <v>0</v>
      </c>
      <c r="DN7">
        <f>ROUND(L7*VLOOKUP($A7,'Present Values'!$A:$F,4)/VLOOKUP($A7,'Present Values'!$A:$F,2),2)</f>
        <v>0</v>
      </c>
      <c r="DO7">
        <f>ROUND(M7*VLOOKUP($A7,'Present Values'!$A:$F,4)/VLOOKUP($A7,'Present Values'!$A:$F,2),2)</f>
        <v>69.989999999999995</v>
      </c>
      <c r="DP7">
        <f>ROUND(N7*VLOOKUP($A7,'Present Values'!$A:$F,4)/VLOOKUP($A7,'Present Values'!$A:$F,2),2)</f>
        <v>141.52000000000001</v>
      </c>
      <c r="DQ7">
        <f>ROUND(O7*VLOOKUP($A7,'Present Values'!$A:$F,4)/VLOOKUP($A7,'Present Values'!$A:$F,2),2)</f>
        <v>238.06</v>
      </c>
      <c r="DR7">
        <f>ROUND(P7*VLOOKUP($A7,'Present Values'!$A:$F,4)/VLOOKUP($A7,'Present Values'!$A:$F,2),2)</f>
        <v>327.87</v>
      </c>
      <c r="DS7">
        <f>ROUND(Q7*VLOOKUP($A7,'Present Values'!$A:$F,4)/VLOOKUP($A7,'Present Values'!$A:$F,2),2)</f>
        <v>470.53</v>
      </c>
      <c r="DT7">
        <f>ROUND(R7*VLOOKUP($A7,'Present Values'!$A:$F,4)/VLOOKUP($A7,'Present Values'!$A:$F,2),2)</f>
        <v>706.89</v>
      </c>
      <c r="DU7">
        <f>ROUND(S7*VLOOKUP($A7,'Present Values'!$A:$F,4)/VLOOKUP($A7,'Present Values'!$A:$F,2),2)</f>
        <v>920.84</v>
      </c>
      <c r="DV7">
        <f>ROUND(T7*VLOOKUP($A7,'Present Values'!$A:$F,4)/VLOOKUP($A7,'Present Values'!$A:$F,2),2)</f>
        <v>1218.0899999999999</v>
      </c>
      <c r="DW7">
        <f>ROUND(U7*VLOOKUP($A7,'Present Values'!$A:$F,4)/VLOOKUP($A7,'Present Values'!$A:$F,2),2)</f>
        <v>1568.72</v>
      </c>
      <c r="DX7">
        <f>ROUND(V7*VLOOKUP($A7,'Present Values'!$A:$F,4)/VLOOKUP($A7,'Present Values'!$A:$F,2),2)</f>
        <v>2010.43</v>
      </c>
      <c r="DY7">
        <f>ROUND(W7*VLOOKUP($A7,'Present Values'!$A:$F,4)/VLOOKUP($A7,'Present Values'!$A:$F,2),2)</f>
        <v>2734.17</v>
      </c>
      <c r="DZ7">
        <f>ROUND(X7*VLOOKUP($A7,'Present Values'!$A:$F,4)/VLOOKUP($A7,'Present Values'!$A:$F,2),2)</f>
        <v>3623.47</v>
      </c>
      <c r="EA7">
        <f>ROUND(Y7*VLOOKUP($A7,'Present Values'!$A:$F,4)/VLOOKUP($A7,'Present Values'!$A:$F,2),2)</f>
        <v>4952.7</v>
      </c>
      <c r="EB7">
        <f>ROUND(Z7*VLOOKUP($A7,'Present Values'!$A:$F,4)/VLOOKUP($A7,'Present Values'!$A:$F,2),2)</f>
        <v>6148.75</v>
      </c>
      <c r="EC7">
        <f>ROUND(AA7*VLOOKUP($A7,'Present Values'!$A:$F,4)/VLOOKUP($A7,'Present Values'!$A:$F,2),2)</f>
        <v>2937.1</v>
      </c>
      <c r="ED7">
        <f>ROUND(AB7*VLOOKUP($A7,'Present Values'!$A:$F,4)/VLOOKUP($A7,'Present Values'!$A:$F,2),2)</f>
        <v>3371.51</v>
      </c>
      <c r="EE7">
        <f>ROUND(AC7*VLOOKUP($A7,'Present Values'!$A:$F,4)/VLOOKUP($A7,'Present Values'!$A:$F,2),2)</f>
        <v>3683.07</v>
      </c>
      <c r="EF7">
        <f>ROUND(AD7*VLOOKUP($A7,'Present Values'!$A:$F,4)/VLOOKUP($A7,'Present Values'!$A:$F,2),2)</f>
        <v>4000.3</v>
      </c>
      <c r="EG7">
        <f>ROUND(AE7*VLOOKUP($A7,'Present Values'!$A:$F,4)/VLOOKUP($A7,'Present Values'!$A:$F,2),2)</f>
        <v>4256.62</v>
      </c>
      <c r="EH7">
        <f>ROUND(AF7*VLOOKUP($A7,'Present Values'!$A:$F,4)/VLOOKUP($A7,'Present Values'!$A:$F,2),2)</f>
        <v>4509</v>
      </c>
      <c r="EI7">
        <f>ROUND(AG7*VLOOKUP($A7,'Present Values'!$A:$F,4)/VLOOKUP($A7,'Present Values'!$A:$F,2),2)</f>
        <v>4756.87</v>
      </c>
      <c r="EJ7">
        <f>ROUND(AH7*VLOOKUP($A7,'Present Values'!$A:$F,4)/VLOOKUP($A7,'Present Values'!$A:$F,2),2)</f>
        <v>4992.4399999999996</v>
      </c>
      <c r="EK7">
        <f>ROUND(AI7*VLOOKUP($A7,'Present Values'!$A:$F,4)/VLOOKUP($A7,'Present Values'!$A:$F,2),2)</f>
        <v>5227.13</v>
      </c>
      <c r="EL7">
        <f>ROUND(AJ7*VLOOKUP($A7,'Present Values'!$A:$F,4)/VLOOKUP($A7,'Present Values'!$A:$F,2),2)</f>
        <v>5452.89</v>
      </c>
      <c r="EM7">
        <f>ROUND(AK7*VLOOKUP($A7,'Present Values'!$A:$F,4)/VLOOKUP($A7,'Present Values'!$A:$F,2),2)</f>
        <v>5677.17</v>
      </c>
      <c r="EN7">
        <f>ROUND(AL7*VLOOKUP($A7,'Present Values'!$A:$F,4)/VLOOKUP($A7,'Present Values'!$A:$F,2),2)</f>
        <v>5927.79</v>
      </c>
      <c r="EO7">
        <f>ROUND(AM7*VLOOKUP($A7,'Present Values'!$A:$F,4)/VLOOKUP($A7,'Present Values'!$A:$F,2),2)</f>
        <v>6133.94</v>
      </c>
      <c r="EP7">
        <f>ROUND(AN7*VLOOKUP($A7,'Present Values'!$A:$F,4)/VLOOKUP($A7,'Present Values'!$A:$F,2),2)</f>
        <v>6333.53</v>
      </c>
      <c r="EQ7">
        <f>ROUND(AO7*VLOOKUP($A7,'Present Values'!$A:$F,4)/VLOOKUP($A7,'Present Values'!$A:$F,2),2)</f>
        <v>6524.32</v>
      </c>
      <c r="ER7">
        <f>ROUND(AP7*VLOOKUP($A7,'Present Values'!$A:$F,4)/VLOOKUP($A7,'Present Values'!$A:$F,2),2)</f>
        <v>6703.44</v>
      </c>
      <c r="ES7">
        <f>ROUND(AQ7*VLOOKUP($A7,'Present Values'!$A:$F,4)/VLOOKUP($A7,'Present Values'!$A:$F,2),2)</f>
        <v>6866.89</v>
      </c>
      <c r="ET7">
        <f>ROUND(AR7*VLOOKUP($A7,'Present Values'!$A:$F,4)/VLOOKUP($A7,'Present Values'!$A:$F,2),2)</f>
        <v>7009.56</v>
      </c>
      <c r="EU7">
        <f>ROUND(AS7*VLOOKUP($A7,'Present Values'!$A:$F,4)/VLOOKUP($A7,'Present Values'!$A:$F,2),2)</f>
        <v>7125.53</v>
      </c>
      <c r="EV7">
        <f>ROUND(AT7*VLOOKUP($A7,'Present Values'!$A:$F,4)/VLOOKUP($A7,'Present Values'!$A:$F,2),2)</f>
        <v>7208.85</v>
      </c>
      <c r="EW7">
        <f>ROUND(AU7*VLOOKUP($A7,'Present Values'!$A:$F,4)/VLOOKUP($A7,'Present Values'!$A:$F,2),2)</f>
        <v>7252.82</v>
      </c>
      <c r="EX7">
        <f>ROUND(AV7*VLOOKUP($A7,'Present Values'!$A:$F,4)/VLOOKUP($A7,'Present Values'!$A:$F,2),2)</f>
        <v>7250.55</v>
      </c>
      <c r="EY7">
        <f>ROUND(AW7*VLOOKUP($A7,'Present Values'!$A:$F,4)/VLOOKUP($A7,'Present Values'!$A:$F,2),2)</f>
        <v>7195.26</v>
      </c>
      <c r="EZ7">
        <f>ROUND(AX7*VLOOKUP($A7,'Present Values'!$A:$F,4)/VLOOKUP($A7,'Present Values'!$A:$F,2),2)</f>
        <v>7080.66</v>
      </c>
      <c r="FA7">
        <f>ROUND(AY7*VLOOKUP($A7,'Present Values'!$A:$F,4)/VLOOKUP($A7,'Present Values'!$A:$F,2),2)</f>
        <v>6901.7</v>
      </c>
      <c r="FB7">
        <f>ROUND(AZ7*VLOOKUP($A7,'Present Values'!$A:$F,4)/VLOOKUP($A7,'Present Values'!$A:$F,2),2)</f>
        <v>6655.17</v>
      </c>
      <c r="FC7">
        <f>ROUND(BA7*VLOOKUP($A7,'Present Values'!$A:$F,4)/VLOOKUP($A7,'Present Values'!$A:$F,2),2)</f>
        <v>6327.02</v>
      </c>
      <c r="FD7">
        <f>ROUND(BB7*VLOOKUP($A7,'Present Values'!$A:$F,4)/VLOOKUP($A7,'Present Values'!$A:$F,2),2)</f>
        <v>5920.06</v>
      </c>
      <c r="FE7">
        <f>ROUND(BC7*VLOOKUP($A7,'Present Values'!$A:$F,4)/VLOOKUP($A7,'Present Values'!$A:$F,2),2)</f>
        <v>5442.1</v>
      </c>
      <c r="FF7">
        <f>ROUND(BD7*VLOOKUP($A7,'Present Values'!$A:$F,4)/VLOOKUP($A7,'Present Values'!$A:$F,2),2)</f>
        <v>4905.0600000000004</v>
      </c>
      <c r="FG7">
        <f>ROUND(BE7*VLOOKUP($A7,'Present Values'!$A:$F,4)/VLOOKUP($A7,'Present Values'!$A:$F,2),2)</f>
        <v>4324.1499999999996</v>
      </c>
      <c r="FH7">
        <f>ROUND(BF7*VLOOKUP($A7,'Present Values'!$A:$F,4)/VLOOKUP($A7,'Present Values'!$A:$F,2),2)</f>
        <v>3718.51</v>
      </c>
      <c r="FI7">
        <f>ROUND(BG7*VLOOKUP($A7,'Present Values'!$A:$F,4)/VLOOKUP($A7,'Present Values'!$A:$F,2),2)</f>
        <v>3111.67</v>
      </c>
      <c r="FJ7">
        <f>ROUND(BH7*VLOOKUP($A7,'Present Values'!$A:$F,4)/VLOOKUP($A7,'Present Values'!$A:$F,2),2)</f>
        <v>2529.14</v>
      </c>
      <c r="FK7">
        <f>ROUND(BI7*VLOOKUP($A7,'Present Values'!$A:$F,4)/VLOOKUP($A7,'Present Values'!$A:$F,2),2)</f>
        <v>2007.88</v>
      </c>
      <c r="FL7">
        <f>ROUND(BJ7*VLOOKUP($A7,'Present Values'!$A:$F,4)/VLOOKUP($A7,'Present Values'!$A:$F,2),2)</f>
        <v>1546.73</v>
      </c>
      <c r="FM7">
        <f>ROUND(BK7*VLOOKUP($A7,'Present Values'!$A:$F,4)/VLOOKUP($A7,'Present Values'!$A:$F,2),2)</f>
        <v>1141.98</v>
      </c>
      <c r="FN7">
        <f>ROUND(BL7*VLOOKUP($A7,'Present Values'!$A:$F,4)/VLOOKUP($A7,'Present Values'!$A:$F,2),2)</f>
        <v>800.21</v>
      </c>
      <c r="FO7">
        <f>ROUND(BM7*VLOOKUP($A7,'Present Values'!$A:$F,4)/VLOOKUP($A7,'Present Values'!$A:$F,2),2)</f>
        <v>529.48</v>
      </c>
      <c r="FP7">
        <f>ROUND(BN7*VLOOKUP($A7,'Present Values'!$A:$F,4)/VLOOKUP($A7,'Present Values'!$A:$F,2),2)</f>
        <v>318.37</v>
      </c>
      <c r="FQ7">
        <f>ROUND(BO7*VLOOKUP($A7,'Present Values'!$A:$F,4)/VLOOKUP($A7,'Present Values'!$A:$F,2),2)</f>
        <v>169.68</v>
      </c>
      <c r="FR7">
        <f>ROUND(BP7*VLOOKUP($A7,'Present Values'!$A:$F,4)/VLOOKUP($A7,'Present Values'!$A:$F,2),2)</f>
        <v>78.599999999999994</v>
      </c>
      <c r="FS7">
        <f>ROUND(BQ7*VLOOKUP($A7,'Present Values'!$A:$F,4)/VLOOKUP($A7,'Present Values'!$A:$F,2),2)</f>
        <v>31.24</v>
      </c>
      <c r="FT7">
        <f>ROUND(BR7*VLOOKUP($A7,'Present Values'!$A:$F,4)/VLOOKUP($A7,'Present Values'!$A:$F,2),2)</f>
        <v>10.130000000000001</v>
      </c>
      <c r="FU7">
        <f>ROUND(BS7*VLOOKUP($A7,'Present Values'!$A:$F,4)/VLOOKUP($A7,'Present Values'!$A:$F,2),2)</f>
        <v>2.46</v>
      </c>
      <c r="FV7">
        <f>ROUND(BT7*VLOOKUP($A7,'Present Values'!$A:$F,4)/VLOOKUP($A7,'Present Values'!$A:$F,2),2)</f>
        <v>0.38</v>
      </c>
      <c r="FW7">
        <f>ROUND(BU7*VLOOKUP($A7,'Present Values'!$A:$F,4)/VLOOKUP($A7,'Present Values'!$A:$F,2),2)</f>
        <v>0</v>
      </c>
      <c r="FX7">
        <f>ROUND(BV7*VLOOKUP($A7,'Present Values'!$A:$F,4)/VLOOKUP($A7,'Present Values'!$A:$F,2),2)</f>
        <v>0</v>
      </c>
      <c r="FY7">
        <f>ROUND(BW7*VLOOKUP($A7,'Present Values'!$A:$F,4)/VLOOKUP($A7,'Present Values'!$A:$F,2),2)</f>
        <v>0</v>
      </c>
      <c r="FZ7">
        <f>ROUND(BX7*VLOOKUP($A7,'Present Values'!$A:$F,4)/VLOOKUP($A7,'Present Values'!$A:$F,2),2)</f>
        <v>0</v>
      </c>
      <c r="GA7">
        <f>ROUND(BY7*VLOOKUP($A7,'Present Values'!$A:$F,4)/VLOOKUP($A7,'Present Values'!$A:$F,2),2)</f>
        <v>0</v>
      </c>
      <c r="GB7">
        <f>ROUND(BZ7*VLOOKUP($A7,'Present Values'!$A:$F,4)/VLOOKUP($A7,'Present Values'!$A:$F,2),2)</f>
        <v>0</v>
      </c>
      <c r="GC7">
        <f>ROUND(CA7*VLOOKUP($A7,'Present Values'!$A:$F,4)/VLOOKUP($A7,'Present Values'!$A:$F,2),2)</f>
        <v>0</v>
      </c>
      <c r="GD7">
        <f>ROUND(CB7*VLOOKUP($A7,'Present Values'!$A:$F,4)/VLOOKUP($A7,'Present Values'!$A:$F,2),2)</f>
        <v>0</v>
      </c>
      <c r="GE7">
        <f>ROUND(CC7*VLOOKUP($A7,'Present Values'!$A:$F,4)/VLOOKUP($A7,'Present Values'!$A:$F,2),2)</f>
        <v>0</v>
      </c>
      <c r="GF7">
        <f>ROUND(CD7*VLOOKUP($A7,'Present Values'!$A:$F,4)/VLOOKUP($A7,'Present Values'!$A:$F,2),2)</f>
        <v>0</v>
      </c>
      <c r="GG7">
        <f>ROUND(CE7*VLOOKUP($A7,'Present Values'!$A:$F,4)/VLOOKUP($A7,'Present Values'!$A:$F,2),2)</f>
        <v>0</v>
      </c>
      <c r="GH7">
        <f>ROUND(CF7*VLOOKUP($A7,'Present Values'!$A:$F,4)/VLOOKUP($A7,'Present Values'!$A:$F,2),2)</f>
        <v>0</v>
      </c>
      <c r="GI7">
        <f>ROUND(CG7*VLOOKUP($A7,'Present Values'!$A:$F,4)/VLOOKUP($A7,'Present Values'!$A:$F,2),2)</f>
        <v>0</v>
      </c>
      <c r="GJ7">
        <f>ROUND(CH7*VLOOKUP($A7,'Present Values'!$A:$F,4)/VLOOKUP($A7,'Present Values'!$A:$F,2),2)</f>
        <v>0</v>
      </c>
      <c r="GK7">
        <f>ROUND(CI7*VLOOKUP($A7,'Present Values'!$A:$F,4)/VLOOKUP($A7,'Present Values'!$A:$F,2),2)</f>
        <v>0</v>
      </c>
      <c r="GL7">
        <f>ROUND(CJ7*VLOOKUP($A7,'Present Values'!$A:$F,4)/VLOOKUP($A7,'Present Values'!$A:$F,2),2)</f>
        <v>0</v>
      </c>
      <c r="GM7">
        <f>ROUND(CK7*VLOOKUP($A7,'Present Values'!$A:$F,4)/VLOOKUP($A7,'Present Values'!$A:$F,2),2)</f>
        <v>0</v>
      </c>
      <c r="GN7">
        <f>ROUND(CL7*VLOOKUP($A7,'Present Values'!$A:$F,4)/VLOOKUP($A7,'Present Values'!$A:$F,2),2)</f>
        <v>0</v>
      </c>
      <c r="GO7">
        <f>ROUND(CM7*VLOOKUP($A7,'Present Values'!$A:$F,4)/VLOOKUP($A7,'Present Values'!$A:$F,2),2)</f>
        <v>0</v>
      </c>
      <c r="GP7">
        <f>ROUND(CN7*VLOOKUP($A7,'Present Values'!$A:$F,4)/VLOOKUP($A7,'Present Values'!$A:$F,2),2)</f>
        <v>0</v>
      </c>
      <c r="GQ7">
        <f>ROUND(CO7*VLOOKUP($A7,'Present Values'!$A:$F,4)/VLOOKUP($A7,'Present Values'!$A:$F,2),2)</f>
        <v>0</v>
      </c>
      <c r="GR7">
        <f>ROUND(CP7*VLOOKUP($A7,'Present Values'!$A:$F,4)/VLOOKUP($A7,'Present Values'!$A:$F,2),2)</f>
        <v>0</v>
      </c>
      <c r="GS7">
        <f>ROUND(CQ7*VLOOKUP($A7,'Present Values'!$A:$F,4)/VLOOKUP($A7,'Present Values'!$A:$F,2),2)</f>
        <v>0</v>
      </c>
      <c r="GT7">
        <f>ROUND(CR7*VLOOKUP($A7,'Present Values'!$A:$F,4)/VLOOKUP($A7,'Present Values'!$A:$F,2),2)</f>
        <v>0</v>
      </c>
      <c r="GU7">
        <f>ROUND(CS7*VLOOKUP($A7,'Present Values'!$A:$F,4)/VLOOKUP($A7,'Present Values'!$A:$F,2),2)</f>
        <v>0</v>
      </c>
      <c r="GV7">
        <f>ROUND(CT7*VLOOKUP($A7,'Present Values'!$A:$F,4)/VLOOKUP($A7,'Present Values'!$A:$F,2),2)</f>
        <v>0</v>
      </c>
      <c r="GW7">
        <f>ROUND(CU7*VLOOKUP($A7,'Present Values'!$A:$F,4)/VLOOKUP($A7,'Present Values'!$A:$F,2),2)</f>
        <v>0</v>
      </c>
      <c r="GX7">
        <f>ROUND(CV7*VLOOKUP($A7,'Present Values'!$A:$F,4)/VLOOKUP($A7,'Present Values'!$A:$F,2),2)</f>
        <v>0</v>
      </c>
      <c r="GY7">
        <f>ROUND(CW7*VLOOKUP($A7,'Present Values'!$A:$F,4)/VLOOKUP($A7,'Present Values'!$A:$F,2),2)</f>
        <v>0</v>
      </c>
      <c r="HA7" s="3">
        <f>NPV(Assumptions!$C$9, DD7:GY7)*(1+Assumptions!$C$9)</f>
        <v>53383.981779350106</v>
      </c>
      <c r="HB7" s="12">
        <f>'Present Values'!D7</f>
        <v>53383.98</v>
      </c>
      <c r="HD7" s="3">
        <f>NPV(Assumptions!$C$9+0.01,Payouts!$B7:$CW7)*(1.01+Assumptions!$C$9)</f>
        <v>101816.12964636434</v>
      </c>
      <c r="HE7" s="3">
        <f>NPV(Assumptions!$C$9-0.01,Payouts!$B7:$CW7)*(0.99+Assumptions!$C$9)</f>
        <v>201989.15048372603</v>
      </c>
      <c r="HG7" s="3">
        <f>IF(AND(AMMset!D4&gt;0,'Present Values'!F7&gt;0),NPV(Assumptions!$C$9+0.01,Payouts!$DD7:$GY7)*(1.01+Assumptions!$C$9)/AMMset!D4, 0)</f>
        <v>6363.504639298194</v>
      </c>
      <c r="HH7" s="3">
        <f>IF(AND(AMMset!D4&gt;0,'Present Values'!F7&gt;0),NPV(Assumptions!$C$9-0.01,Payouts!$DD7:$GY7)*(0.99+Assumptions!$C$9)/AMMset!D4, 0)</f>
        <v>12624.314949311249</v>
      </c>
      <c r="HJ7" s="12">
        <v>5950.01</v>
      </c>
      <c r="HK7" s="12">
        <v>9596.14</v>
      </c>
      <c r="HM7" s="12">
        <v>21304.639999999999</v>
      </c>
      <c r="HN7" s="12">
        <v>44984.160000000003</v>
      </c>
    </row>
    <row r="8" spans="1:222" x14ac:dyDescent="0.25">
      <c r="A8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144.74</v>
      </c>
      <c r="T8">
        <v>292.56</v>
      </c>
      <c r="U8">
        <v>491.82</v>
      </c>
      <c r="V8">
        <v>686.82</v>
      </c>
      <c r="W8">
        <v>990.79</v>
      </c>
      <c r="X8">
        <v>1486.86</v>
      </c>
      <c r="Y8">
        <v>1935.28</v>
      </c>
      <c r="Z8">
        <v>2552.9899999999998</v>
      </c>
      <c r="AA8">
        <v>3277.33</v>
      </c>
      <c r="AB8">
        <v>4184.17</v>
      </c>
      <c r="AC8">
        <v>5670.62</v>
      </c>
      <c r="AD8">
        <v>7492.55</v>
      </c>
      <c r="AE8">
        <v>10220.66</v>
      </c>
      <c r="AF8">
        <v>12639.18</v>
      </c>
      <c r="AG8">
        <v>6015.69</v>
      </c>
      <c r="AH8">
        <v>6873.8</v>
      </c>
      <c r="AI8">
        <v>7478.9</v>
      </c>
      <c r="AJ8">
        <v>8087.4</v>
      </c>
      <c r="AK8">
        <v>8576.2999999999993</v>
      </c>
      <c r="AL8">
        <v>9053.2999999999993</v>
      </c>
      <c r="AM8">
        <v>9514.91</v>
      </c>
      <c r="AN8">
        <v>9945.25</v>
      </c>
      <c r="AO8">
        <v>10366.43</v>
      </c>
      <c r="AP8">
        <v>10765.53</v>
      </c>
      <c r="AQ8">
        <v>11154.95</v>
      </c>
      <c r="AR8">
        <v>11584.36</v>
      </c>
      <c r="AS8">
        <v>11923.42</v>
      </c>
      <c r="AT8">
        <v>12236.3</v>
      </c>
      <c r="AU8">
        <v>12513.76</v>
      </c>
      <c r="AV8">
        <v>12745.36</v>
      </c>
      <c r="AW8">
        <v>12922.08</v>
      </c>
      <c r="AX8">
        <v>13032.81</v>
      </c>
      <c r="AY8">
        <v>13066.67</v>
      </c>
      <c r="AZ8">
        <v>13015.29</v>
      </c>
      <c r="BA8">
        <v>12873.48</v>
      </c>
      <c r="BB8">
        <v>12635.03</v>
      </c>
      <c r="BC8">
        <v>12294.49</v>
      </c>
      <c r="BD8">
        <v>11825.11</v>
      </c>
      <c r="BE8">
        <v>11221.58</v>
      </c>
      <c r="BF8">
        <v>10485.83</v>
      </c>
      <c r="BG8">
        <v>9627.2999999999993</v>
      </c>
      <c r="BH8">
        <v>8666.39</v>
      </c>
      <c r="BI8">
        <v>7635.26</v>
      </c>
      <c r="BJ8">
        <v>6573.61</v>
      </c>
      <c r="BK8">
        <v>5522.19</v>
      </c>
      <c r="BL8">
        <v>4518.34</v>
      </c>
      <c r="BM8">
        <v>3593.87</v>
      </c>
      <c r="BN8">
        <v>2773.05</v>
      </c>
      <c r="BO8">
        <v>2087.9499999999998</v>
      </c>
      <c r="BP8">
        <v>1519.66</v>
      </c>
      <c r="BQ8">
        <v>1081.6099999999999</v>
      </c>
      <c r="BR8">
        <v>729.8</v>
      </c>
      <c r="BS8">
        <v>464.15</v>
      </c>
      <c r="BT8">
        <v>266.75</v>
      </c>
      <c r="BU8">
        <v>134.88</v>
      </c>
      <c r="BV8">
        <v>59.02</v>
      </c>
      <c r="BW8">
        <v>22.11</v>
      </c>
      <c r="BX8">
        <v>6.76</v>
      </c>
      <c r="BY8">
        <v>1.55</v>
      </c>
      <c r="BZ8">
        <v>0.23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Y8" s="3">
        <f>NPV(Assumptions!$C$9, B8:CW8)*(1+Assumptions!$C$9)</f>
        <v>80081.952116942499</v>
      </c>
      <c r="CZ8" s="12">
        <f>'Present Values'!B8</f>
        <v>80081.960000000006</v>
      </c>
      <c r="DD8">
        <f>ROUND(B8*VLOOKUP($A8,'Present Values'!$A:$F,4)/VLOOKUP($A8,'Present Values'!$A:$F,2),2)</f>
        <v>0</v>
      </c>
      <c r="DE8">
        <f>ROUND(C8*VLOOKUP($A8,'Present Values'!$A:$F,4)/VLOOKUP($A8,'Present Values'!$A:$F,2),2)</f>
        <v>0</v>
      </c>
      <c r="DF8">
        <f>ROUND(D8*VLOOKUP($A8,'Present Values'!$A:$F,4)/VLOOKUP($A8,'Present Values'!$A:$F,2),2)</f>
        <v>0</v>
      </c>
      <c r="DG8">
        <f>ROUND(E8*VLOOKUP($A8,'Present Values'!$A:$F,4)/VLOOKUP($A8,'Present Values'!$A:$F,2),2)</f>
        <v>0</v>
      </c>
      <c r="DH8">
        <f>ROUND(F8*VLOOKUP($A8,'Present Values'!$A:$F,4)/VLOOKUP($A8,'Present Values'!$A:$F,2),2)</f>
        <v>0</v>
      </c>
      <c r="DI8">
        <f>ROUND(G8*VLOOKUP($A8,'Present Values'!$A:$F,4)/VLOOKUP($A8,'Present Values'!$A:$F,2),2)</f>
        <v>0</v>
      </c>
      <c r="DJ8">
        <f>ROUND(H8*VLOOKUP($A8,'Present Values'!$A:$F,4)/VLOOKUP($A8,'Present Values'!$A:$F,2),2)</f>
        <v>0</v>
      </c>
      <c r="DK8">
        <f>ROUND(I8*VLOOKUP($A8,'Present Values'!$A:$F,4)/VLOOKUP($A8,'Present Values'!$A:$F,2),2)</f>
        <v>0</v>
      </c>
      <c r="DL8">
        <f>ROUND(J8*VLOOKUP($A8,'Present Values'!$A:$F,4)/VLOOKUP($A8,'Present Values'!$A:$F,2),2)</f>
        <v>0</v>
      </c>
      <c r="DM8">
        <f>ROUND(K8*VLOOKUP($A8,'Present Values'!$A:$F,4)/VLOOKUP($A8,'Present Values'!$A:$F,2),2)</f>
        <v>0</v>
      </c>
      <c r="DN8">
        <f>ROUND(L8*VLOOKUP($A8,'Present Values'!$A:$F,4)/VLOOKUP($A8,'Present Values'!$A:$F,2),2)</f>
        <v>0</v>
      </c>
      <c r="DO8">
        <f>ROUND(M8*VLOOKUP($A8,'Present Values'!$A:$F,4)/VLOOKUP($A8,'Present Values'!$A:$F,2),2)</f>
        <v>0</v>
      </c>
      <c r="DP8">
        <f>ROUND(N8*VLOOKUP($A8,'Present Values'!$A:$F,4)/VLOOKUP($A8,'Present Values'!$A:$F,2),2)</f>
        <v>0</v>
      </c>
      <c r="DQ8">
        <f>ROUND(O8*VLOOKUP($A8,'Present Values'!$A:$F,4)/VLOOKUP($A8,'Present Values'!$A:$F,2),2)</f>
        <v>0</v>
      </c>
      <c r="DR8">
        <f>ROUND(P8*VLOOKUP($A8,'Present Values'!$A:$F,4)/VLOOKUP($A8,'Present Values'!$A:$F,2),2)</f>
        <v>0</v>
      </c>
      <c r="DS8">
        <f>ROUND(Q8*VLOOKUP($A8,'Present Values'!$A:$F,4)/VLOOKUP($A8,'Present Values'!$A:$F,2),2)</f>
        <v>0</v>
      </c>
      <c r="DT8">
        <f>ROUND(R8*VLOOKUP($A8,'Present Values'!$A:$F,4)/VLOOKUP($A8,'Present Values'!$A:$F,2),2)</f>
        <v>0</v>
      </c>
      <c r="DU8">
        <f>ROUND(S8*VLOOKUP($A8,'Present Values'!$A:$F,4)/VLOOKUP($A8,'Present Values'!$A:$F,2),2)</f>
        <v>8.51</v>
      </c>
      <c r="DV8">
        <f>ROUND(T8*VLOOKUP($A8,'Present Values'!$A:$F,4)/VLOOKUP($A8,'Present Values'!$A:$F,2),2)</f>
        <v>17.21</v>
      </c>
      <c r="DW8">
        <f>ROUND(U8*VLOOKUP($A8,'Present Values'!$A:$F,4)/VLOOKUP($A8,'Present Values'!$A:$F,2),2)</f>
        <v>28.93</v>
      </c>
      <c r="DX8">
        <f>ROUND(V8*VLOOKUP($A8,'Present Values'!$A:$F,4)/VLOOKUP($A8,'Present Values'!$A:$F,2),2)</f>
        <v>40.4</v>
      </c>
      <c r="DY8">
        <f>ROUND(W8*VLOOKUP($A8,'Present Values'!$A:$F,4)/VLOOKUP($A8,'Present Values'!$A:$F,2),2)</f>
        <v>58.28</v>
      </c>
      <c r="DZ8">
        <f>ROUND(X8*VLOOKUP($A8,'Present Values'!$A:$F,4)/VLOOKUP($A8,'Present Values'!$A:$F,2),2)</f>
        <v>87.46</v>
      </c>
      <c r="EA8">
        <f>ROUND(Y8*VLOOKUP($A8,'Present Values'!$A:$F,4)/VLOOKUP($A8,'Present Values'!$A:$F,2),2)</f>
        <v>113.84</v>
      </c>
      <c r="EB8">
        <f>ROUND(Z8*VLOOKUP($A8,'Present Values'!$A:$F,4)/VLOOKUP($A8,'Present Values'!$A:$F,2),2)</f>
        <v>150.18</v>
      </c>
      <c r="EC8">
        <f>ROUND(AA8*VLOOKUP($A8,'Present Values'!$A:$F,4)/VLOOKUP($A8,'Present Values'!$A:$F,2),2)</f>
        <v>192.78</v>
      </c>
      <c r="ED8">
        <f>ROUND(AB8*VLOOKUP($A8,'Present Values'!$A:$F,4)/VLOOKUP($A8,'Present Values'!$A:$F,2),2)</f>
        <v>246.13</v>
      </c>
      <c r="EE8">
        <f>ROUND(AC8*VLOOKUP($A8,'Present Values'!$A:$F,4)/VLOOKUP($A8,'Present Values'!$A:$F,2),2)</f>
        <v>333.57</v>
      </c>
      <c r="EF8">
        <f>ROUND(AD8*VLOOKUP($A8,'Present Values'!$A:$F,4)/VLOOKUP($A8,'Present Values'!$A:$F,2),2)</f>
        <v>440.74</v>
      </c>
      <c r="EG8">
        <f>ROUND(AE8*VLOOKUP($A8,'Present Values'!$A:$F,4)/VLOOKUP($A8,'Present Values'!$A:$F,2),2)</f>
        <v>601.21</v>
      </c>
      <c r="EH8">
        <f>ROUND(AF8*VLOOKUP($A8,'Present Values'!$A:$F,4)/VLOOKUP($A8,'Present Values'!$A:$F,2),2)</f>
        <v>743.48</v>
      </c>
      <c r="EI8">
        <f>ROUND(AG8*VLOOKUP($A8,'Present Values'!$A:$F,4)/VLOOKUP($A8,'Present Values'!$A:$F,2),2)</f>
        <v>353.86</v>
      </c>
      <c r="EJ8">
        <f>ROUND(AH8*VLOOKUP($A8,'Present Values'!$A:$F,4)/VLOOKUP($A8,'Present Values'!$A:$F,2),2)</f>
        <v>404.34</v>
      </c>
      <c r="EK8">
        <f>ROUND(AI8*VLOOKUP($A8,'Present Values'!$A:$F,4)/VLOOKUP($A8,'Present Values'!$A:$F,2),2)</f>
        <v>439.93</v>
      </c>
      <c r="EL8">
        <f>ROUND(AJ8*VLOOKUP($A8,'Present Values'!$A:$F,4)/VLOOKUP($A8,'Present Values'!$A:$F,2),2)</f>
        <v>475.73</v>
      </c>
      <c r="EM8">
        <f>ROUND(AK8*VLOOKUP($A8,'Present Values'!$A:$F,4)/VLOOKUP($A8,'Present Values'!$A:$F,2),2)</f>
        <v>504.49</v>
      </c>
      <c r="EN8">
        <f>ROUND(AL8*VLOOKUP($A8,'Present Values'!$A:$F,4)/VLOOKUP($A8,'Present Values'!$A:$F,2),2)</f>
        <v>532.54999999999995</v>
      </c>
      <c r="EO8">
        <f>ROUND(AM8*VLOOKUP($A8,'Present Values'!$A:$F,4)/VLOOKUP($A8,'Present Values'!$A:$F,2),2)</f>
        <v>559.70000000000005</v>
      </c>
      <c r="EP8">
        <f>ROUND(AN8*VLOOKUP($A8,'Present Values'!$A:$F,4)/VLOOKUP($A8,'Present Values'!$A:$F,2),2)</f>
        <v>585.01</v>
      </c>
      <c r="EQ8">
        <f>ROUND(AO8*VLOOKUP($A8,'Present Values'!$A:$F,4)/VLOOKUP($A8,'Present Values'!$A:$F,2),2)</f>
        <v>609.79</v>
      </c>
      <c r="ER8">
        <f>ROUND(AP8*VLOOKUP($A8,'Present Values'!$A:$F,4)/VLOOKUP($A8,'Present Values'!$A:$F,2),2)</f>
        <v>633.27</v>
      </c>
      <c r="ES8">
        <f>ROUND(AQ8*VLOOKUP($A8,'Present Values'!$A:$F,4)/VLOOKUP($A8,'Present Values'!$A:$F,2),2)</f>
        <v>656.17</v>
      </c>
      <c r="ET8">
        <f>ROUND(AR8*VLOOKUP($A8,'Present Values'!$A:$F,4)/VLOOKUP($A8,'Present Values'!$A:$F,2),2)</f>
        <v>681.43</v>
      </c>
      <c r="EU8">
        <f>ROUND(AS8*VLOOKUP($A8,'Present Values'!$A:$F,4)/VLOOKUP($A8,'Present Values'!$A:$F,2),2)</f>
        <v>701.38</v>
      </c>
      <c r="EV8">
        <f>ROUND(AT8*VLOOKUP($A8,'Present Values'!$A:$F,4)/VLOOKUP($A8,'Present Values'!$A:$F,2),2)</f>
        <v>719.78</v>
      </c>
      <c r="EW8">
        <f>ROUND(AU8*VLOOKUP($A8,'Present Values'!$A:$F,4)/VLOOKUP($A8,'Present Values'!$A:$F,2),2)</f>
        <v>736.1</v>
      </c>
      <c r="EX8">
        <f>ROUND(AV8*VLOOKUP($A8,'Present Values'!$A:$F,4)/VLOOKUP($A8,'Present Values'!$A:$F,2),2)</f>
        <v>749.73</v>
      </c>
      <c r="EY8">
        <f>ROUND(AW8*VLOOKUP($A8,'Present Values'!$A:$F,4)/VLOOKUP($A8,'Present Values'!$A:$F,2),2)</f>
        <v>760.12</v>
      </c>
      <c r="EZ8">
        <f>ROUND(AX8*VLOOKUP($A8,'Present Values'!$A:$F,4)/VLOOKUP($A8,'Present Values'!$A:$F,2),2)</f>
        <v>766.64</v>
      </c>
      <c r="FA8">
        <f>ROUND(AY8*VLOOKUP($A8,'Present Values'!$A:$F,4)/VLOOKUP($A8,'Present Values'!$A:$F,2),2)</f>
        <v>768.63</v>
      </c>
      <c r="FB8">
        <f>ROUND(AZ8*VLOOKUP($A8,'Present Values'!$A:$F,4)/VLOOKUP($A8,'Present Values'!$A:$F,2),2)</f>
        <v>765.6</v>
      </c>
      <c r="FC8">
        <f>ROUND(BA8*VLOOKUP($A8,'Present Values'!$A:$F,4)/VLOOKUP($A8,'Present Values'!$A:$F,2),2)</f>
        <v>757.26</v>
      </c>
      <c r="FD8">
        <f>ROUND(BB8*VLOOKUP($A8,'Present Values'!$A:$F,4)/VLOOKUP($A8,'Present Values'!$A:$F,2),2)</f>
        <v>743.24</v>
      </c>
      <c r="FE8">
        <f>ROUND(BC8*VLOOKUP($A8,'Present Values'!$A:$F,4)/VLOOKUP($A8,'Present Values'!$A:$F,2),2)</f>
        <v>723.2</v>
      </c>
      <c r="FF8">
        <f>ROUND(BD8*VLOOKUP($A8,'Present Values'!$A:$F,4)/VLOOKUP($A8,'Present Values'!$A:$F,2),2)</f>
        <v>695.59</v>
      </c>
      <c r="FG8">
        <f>ROUND(BE8*VLOOKUP($A8,'Present Values'!$A:$F,4)/VLOOKUP($A8,'Present Values'!$A:$F,2),2)</f>
        <v>660.09</v>
      </c>
      <c r="FH8">
        <f>ROUND(BF8*VLOOKUP($A8,'Present Values'!$A:$F,4)/VLOOKUP($A8,'Present Values'!$A:$F,2),2)</f>
        <v>616.80999999999995</v>
      </c>
      <c r="FI8">
        <f>ROUND(BG8*VLOOKUP($A8,'Present Values'!$A:$F,4)/VLOOKUP($A8,'Present Values'!$A:$F,2),2)</f>
        <v>566.30999999999995</v>
      </c>
      <c r="FJ8">
        <f>ROUND(BH8*VLOOKUP($A8,'Present Values'!$A:$F,4)/VLOOKUP($A8,'Present Values'!$A:$F,2),2)</f>
        <v>509.79</v>
      </c>
      <c r="FK8">
        <f>ROUND(BI8*VLOOKUP($A8,'Present Values'!$A:$F,4)/VLOOKUP($A8,'Present Values'!$A:$F,2),2)</f>
        <v>449.13</v>
      </c>
      <c r="FL8">
        <f>ROUND(BJ8*VLOOKUP($A8,'Present Values'!$A:$F,4)/VLOOKUP($A8,'Present Values'!$A:$F,2),2)</f>
        <v>386.68</v>
      </c>
      <c r="FM8">
        <f>ROUND(BK8*VLOOKUP($A8,'Present Values'!$A:$F,4)/VLOOKUP($A8,'Present Values'!$A:$F,2),2)</f>
        <v>324.83</v>
      </c>
      <c r="FN8">
        <f>ROUND(BL8*VLOOKUP($A8,'Present Values'!$A:$F,4)/VLOOKUP($A8,'Present Values'!$A:$F,2),2)</f>
        <v>265.77999999999997</v>
      </c>
      <c r="FO8">
        <f>ROUND(BM8*VLOOKUP($A8,'Present Values'!$A:$F,4)/VLOOKUP($A8,'Present Values'!$A:$F,2),2)</f>
        <v>211.4</v>
      </c>
      <c r="FP8">
        <f>ROUND(BN8*VLOOKUP($A8,'Present Values'!$A:$F,4)/VLOOKUP($A8,'Present Values'!$A:$F,2),2)</f>
        <v>163.12</v>
      </c>
      <c r="FQ8">
        <f>ROUND(BO8*VLOOKUP($A8,'Present Values'!$A:$F,4)/VLOOKUP($A8,'Present Values'!$A:$F,2),2)</f>
        <v>122.82</v>
      </c>
      <c r="FR8">
        <f>ROUND(BP8*VLOOKUP($A8,'Present Values'!$A:$F,4)/VLOOKUP($A8,'Present Values'!$A:$F,2),2)</f>
        <v>89.39</v>
      </c>
      <c r="FS8">
        <f>ROUND(BQ8*VLOOKUP($A8,'Present Values'!$A:$F,4)/VLOOKUP($A8,'Present Values'!$A:$F,2),2)</f>
        <v>63.62</v>
      </c>
      <c r="FT8">
        <f>ROUND(BR8*VLOOKUP($A8,'Present Values'!$A:$F,4)/VLOOKUP($A8,'Present Values'!$A:$F,2),2)</f>
        <v>42.93</v>
      </c>
      <c r="FU8">
        <f>ROUND(BS8*VLOOKUP($A8,'Present Values'!$A:$F,4)/VLOOKUP($A8,'Present Values'!$A:$F,2),2)</f>
        <v>27.3</v>
      </c>
      <c r="FV8">
        <f>ROUND(BT8*VLOOKUP($A8,'Present Values'!$A:$F,4)/VLOOKUP($A8,'Present Values'!$A:$F,2),2)</f>
        <v>15.69</v>
      </c>
      <c r="FW8">
        <f>ROUND(BU8*VLOOKUP($A8,'Present Values'!$A:$F,4)/VLOOKUP($A8,'Present Values'!$A:$F,2),2)</f>
        <v>7.93</v>
      </c>
      <c r="FX8">
        <f>ROUND(BV8*VLOOKUP($A8,'Present Values'!$A:$F,4)/VLOOKUP($A8,'Present Values'!$A:$F,2),2)</f>
        <v>3.47</v>
      </c>
      <c r="FY8">
        <f>ROUND(BW8*VLOOKUP($A8,'Present Values'!$A:$F,4)/VLOOKUP($A8,'Present Values'!$A:$F,2),2)</f>
        <v>1.3</v>
      </c>
      <c r="FZ8">
        <f>ROUND(BX8*VLOOKUP($A8,'Present Values'!$A:$F,4)/VLOOKUP($A8,'Present Values'!$A:$F,2),2)</f>
        <v>0.4</v>
      </c>
      <c r="GA8">
        <f>ROUND(BY8*VLOOKUP($A8,'Present Values'!$A:$F,4)/VLOOKUP($A8,'Present Values'!$A:$F,2),2)</f>
        <v>0.09</v>
      </c>
      <c r="GB8">
        <f>ROUND(BZ8*VLOOKUP($A8,'Present Values'!$A:$F,4)/VLOOKUP($A8,'Present Values'!$A:$F,2),2)</f>
        <v>0.01</v>
      </c>
      <c r="GC8">
        <f>ROUND(CA8*VLOOKUP($A8,'Present Values'!$A:$F,4)/VLOOKUP($A8,'Present Values'!$A:$F,2),2)</f>
        <v>0</v>
      </c>
      <c r="GD8">
        <f>ROUND(CB8*VLOOKUP($A8,'Present Values'!$A:$F,4)/VLOOKUP($A8,'Present Values'!$A:$F,2),2)</f>
        <v>0</v>
      </c>
      <c r="GE8">
        <f>ROUND(CC8*VLOOKUP($A8,'Present Values'!$A:$F,4)/VLOOKUP($A8,'Present Values'!$A:$F,2),2)</f>
        <v>0</v>
      </c>
      <c r="GF8">
        <f>ROUND(CD8*VLOOKUP($A8,'Present Values'!$A:$F,4)/VLOOKUP($A8,'Present Values'!$A:$F,2),2)</f>
        <v>0</v>
      </c>
      <c r="GG8">
        <f>ROUND(CE8*VLOOKUP($A8,'Present Values'!$A:$F,4)/VLOOKUP($A8,'Present Values'!$A:$F,2),2)</f>
        <v>0</v>
      </c>
      <c r="GH8">
        <f>ROUND(CF8*VLOOKUP($A8,'Present Values'!$A:$F,4)/VLOOKUP($A8,'Present Values'!$A:$F,2),2)</f>
        <v>0</v>
      </c>
      <c r="GI8">
        <f>ROUND(CG8*VLOOKUP($A8,'Present Values'!$A:$F,4)/VLOOKUP($A8,'Present Values'!$A:$F,2),2)</f>
        <v>0</v>
      </c>
      <c r="GJ8">
        <f>ROUND(CH8*VLOOKUP($A8,'Present Values'!$A:$F,4)/VLOOKUP($A8,'Present Values'!$A:$F,2),2)</f>
        <v>0</v>
      </c>
      <c r="GK8">
        <f>ROUND(CI8*VLOOKUP($A8,'Present Values'!$A:$F,4)/VLOOKUP($A8,'Present Values'!$A:$F,2),2)</f>
        <v>0</v>
      </c>
      <c r="GL8">
        <f>ROUND(CJ8*VLOOKUP($A8,'Present Values'!$A:$F,4)/VLOOKUP($A8,'Present Values'!$A:$F,2),2)</f>
        <v>0</v>
      </c>
      <c r="GM8">
        <f>ROUND(CK8*VLOOKUP($A8,'Present Values'!$A:$F,4)/VLOOKUP($A8,'Present Values'!$A:$F,2),2)</f>
        <v>0</v>
      </c>
      <c r="GN8">
        <f>ROUND(CL8*VLOOKUP($A8,'Present Values'!$A:$F,4)/VLOOKUP($A8,'Present Values'!$A:$F,2),2)</f>
        <v>0</v>
      </c>
      <c r="GO8">
        <f>ROUND(CM8*VLOOKUP($A8,'Present Values'!$A:$F,4)/VLOOKUP($A8,'Present Values'!$A:$F,2),2)</f>
        <v>0</v>
      </c>
      <c r="GP8">
        <f>ROUND(CN8*VLOOKUP($A8,'Present Values'!$A:$F,4)/VLOOKUP($A8,'Present Values'!$A:$F,2),2)</f>
        <v>0</v>
      </c>
      <c r="GQ8">
        <f>ROUND(CO8*VLOOKUP($A8,'Present Values'!$A:$F,4)/VLOOKUP($A8,'Present Values'!$A:$F,2),2)</f>
        <v>0</v>
      </c>
      <c r="GR8">
        <f>ROUND(CP8*VLOOKUP($A8,'Present Values'!$A:$F,4)/VLOOKUP($A8,'Present Values'!$A:$F,2),2)</f>
        <v>0</v>
      </c>
      <c r="GS8">
        <f>ROUND(CQ8*VLOOKUP($A8,'Present Values'!$A:$F,4)/VLOOKUP($A8,'Present Values'!$A:$F,2),2)</f>
        <v>0</v>
      </c>
      <c r="GT8">
        <f>ROUND(CR8*VLOOKUP($A8,'Present Values'!$A:$F,4)/VLOOKUP($A8,'Present Values'!$A:$F,2),2)</f>
        <v>0</v>
      </c>
      <c r="GU8">
        <f>ROUND(CS8*VLOOKUP($A8,'Present Values'!$A:$F,4)/VLOOKUP($A8,'Present Values'!$A:$F,2),2)</f>
        <v>0</v>
      </c>
      <c r="GV8">
        <f>ROUND(CT8*VLOOKUP($A8,'Present Values'!$A:$F,4)/VLOOKUP($A8,'Present Values'!$A:$F,2),2)</f>
        <v>0</v>
      </c>
      <c r="GW8">
        <f>ROUND(CU8*VLOOKUP($A8,'Present Values'!$A:$F,4)/VLOOKUP($A8,'Present Values'!$A:$F,2),2)</f>
        <v>0</v>
      </c>
      <c r="GX8">
        <f>ROUND(CV8*VLOOKUP($A8,'Present Values'!$A:$F,4)/VLOOKUP($A8,'Present Values'!$A:$F,2),2)</f>
        <v>0</v>
      </c>
      <c r="GY8">
        <f>ROUND(CW8*VLOOKUP($A8,'Present Values'!$A:$F,4)/VLOOKUP($A8,'Present Values'!$A:$F,2),2)</f>
        <v>0</v>
      </c>
      <c r="HA8" s="3">
        <f>NPV(Assumptions!$C$9, DD8:GY8)*(1+Assumptions!$C$9)</f>
        <v>4710.6898142620867</v>
      </c>
      <c r="HB8" s="12">
        <f>'Present Values'!D8</f>
        <v>4710.7</v>
      </c>
      <c r="HD8" s="3">
        <f>NPV(Assumptions!$C$9+0.01,Payouts!$B8:$CW8)*(1.01+Assumptions!$C$9)</f>
        <v>54700.906645239709</v>
      </c>
      <c r="HE8" s="3">
        <f>NPV(Assumptions!$C$9-0.01,Payouts!$B8:$CW8)*(0.99+Assumptions!$C$9)</f>
        <v>118910.20750305767</v>
      </c>
      <c r="HG8" s="3">
        <f>IF(AND(AMMset!D5&gt;0,'Present Values'!F8&gt;0),NPV(Assumptions!$C$9+0.01,Payouts!$DD8:$GY8)*(1.01+Assumptions!$C$9)/AMMset!D5, 0)</f>
        <v>3217.6913642467666</v>
      </c>
      <c r="HH8" s="3">
        <f>IF(AND(AMMset!D5&gt;0,'Present Values'!F8&gt;0),NPV(Assumptions!$C$9-0.01,Payouts!$DD8:$GY8)*(0.99+Assumptions!$C$9)/AMMset!D5, 0)</f>
        <v>6994.6979482185279</v>
      </c>
      <c r="HJ8" s="12">
        <v>4591.3599999999997</v>
      </c>
      <c r="HK8" s="12">
        <v>8092.23</v>
      </c>
      <c r="HM8" s="12">
        <v>2902.18</v>
      </c>
      <c r="HN8" s="12">
        <v>6227.32</v>
      </c>
    </row>
    <row r="9" spans="1:222" x14ac:dyDescent="0.25">
      <c r="A9">
        <v>5</v>
      </c>
      <c r="B9">
        <v>0</v>
      </c>
      <c r="C9">
        <v>591.27</v>
      </c>
      <c r="D9">
        <v>1356.92</v>
      </c>
      <c r="E9">
        <v>2687.4</v>
      </c>
      <c r="F9">
        <v>4342.13</v>
      </c>
      <c r="G9">
        <v>6882.06</v>
      </c>
      <c r="H9">
        <v>9111.5</v>
      </c>
      <c r="I9">
        <v>4485.4399999999996</v>
      </c>
      <c r="J9">
        <v>5263.02</v>
      </c>
      <c r="K9">
        <v>5789.68</v>
      </c>
      <c r="L9">
        <v>6317.81</v>
      </c>
      <c r="M9">
        <v>6726.66</v>
      </c>
      <c r="N9">
        <v>7122.82</v>
      </c>
      <c r="O9">
        <v>7503.34</v>
      </c>
      <c r="P9">
        <v>7853.19</v>
      </c>
      <c r="Q9">
        <v>8194.57</v>
      </c>
      <c r="R9">
        <v>8515.07</v>
      </c>
      <c r="S9">
        <v>8827.68</v>
      </c>
      <c r="T9">
        <v>9181.9599999999991</v>
      </c>
      <c r="U9">
        <v>9450.7099999999991</v>
      </c>
      <c r="V9">
        <v>9698.7099999999991</v>
      </c>
      <c r="W9">
        <v>9918.6200000000008</v>
      </c>
      <c r="X9">
        <v>10102.19</v>
      </c>
      <c r="Y9">
        <v>10242.26</v>
      </c>
      <c r="Z9">
        <v>10330.030000000001</v>
      </c>
      <c r="AA9">
        <v>10356.870000000001</v>
      </c>
      <c r="AB9">
        <v>10316.14</v>
      </c>
      <c r="AC9">
        <v>10203.74</v>
      </c>
      <c r="AD9">
        <v>10014.75</v>
      </c>
      <c r="AE9">
        <v>9744.82</v>
      </c>
      <c r="AF9">
        <v>9372.7900000000009</v>
      </c>
      <c r="AG9">
        <v>8894.42</v>
      </c>
      <c r="AH9">
        <v>8311.25</v>
      </c>
      <c r="AI9">
        <v>7630.76</v>
      </c>
      <c r="AJ9">
        <v>6869.13</v>
      </c>
      <c r="AK9">
        <v>6051.84</v>
      </c>
      <c r="AL9">
        <v>5210.3599999999997</v>
      </c>
      <c r="AM9">
        <v>4376.9799999999996</v>
      </c>
      <c r="AN9">
        <v>3581.32</v>
      </c>
      <c r="AO9">
        <v>2848.57</v>
      </c>
      <c r="AP9">
        <v>2197.9699999999998</v>
      </c>
      <c r="AQ9">
        <v>1654.95</v>
      </c>
      <c r="AR9">
        <v>1204.51</v>
      </c>
      <c r="AS9">
        <v>857.3</v>
      </c>
      <c r="AT9">
        <v>578.45000000000005</v>
      </c>
      <c r="AU9">
        <v>367.89</v>
      </c>
      <c r="AV9">
        <v>211.43</v>
      </c>
      <c r="AW9">
        <v>106.91</v>
      </c>
      <c r="AX9">
        <v>46.78</v>
      </c>
      <c r="AY9">
        <v>17.53</v>
      </c>
      <c r="AZ9">
        <v>5.36</v>
      </c>
      <c r="BA9">
        <v>1.23</v>
      </c>
      <c r="BB9">
        <v>0.18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Y9" s="3">
        <f>NPV(Assumptions!$C$9, B9:CW9)*(1+Assumptions!$C$9)</f>
        <v>138904.89027524795</v>
      </c>
      <c r="CZ9" s="12">
        <f>'Present Values'!B9</f>
        <v>138904.9</v>
      </c>
      <c r="DD9">
        <f>ROUND(B9*VLOOKUP($A9,'Present Values'!$A:$F,4)/VLOOKUP($A9,'Present Values'!$A:$F,2),2)</f>
        <v>0</v>
      </c>
      <c r="DE9">
        <f>ROUND(C9*VLOOKUP($A9,'Present Values'!$A:$F,4)/VLOOKUP($A9,'Present Values'!$A:$F,2),2)</f>
        <v>591.27</v>
      </c>
      <c r="DF9">
        <f>ROUND(D9*VLOOKUP($A9,'Present Values'!$A:$F,4)/VLOOKUP($A9,'Present Values'!$A:$F,2),2)</f>
        <v>1356.92</v>
      </c>
      <c r="DG9">
        <f>ROUND(E9*VLOOKUP($A9,'Present Values'!$A:$F,4)/VLOOKUP($A9,'Present Values'!$A:$F,2),2)</f>
        <v>2687.4</v>
      </c>
      <c r="DH9">
        <f>ROUND(F9*VLOOKUP($A9,'Present Values'!$A:$F,4)/VLOOKUP($A9,'Present Values'!$A:$F,2),2)</f>
        <v>4342.13</v>
      </c>
      <c r="DI9">
        <f>ROUND(G9*VLOOKUP($A9,'Present Values'!$A:$F,4)/VLOOKUP($A9,'Present Values'!$A:$F,2),2)</f>
        <v>6882.06</v>
      </c>
      <c r="DJ9">
        <f>ROUND(H9*VLOOKUP($A9,'Present Values'!$A:$F,4)/VLOOKUP($A9,'Present Values'!$A:$F,2),2)</f>
        <v>9111.5</v>
      </c>
      <c r="DK9">
        <f>ROUND(I9*VLOOKUP($A9,'Present Values'!$A:$F,4)/VLOOKUP($A9,'Present Values'!$A:$F,2),2)</f>
        <v>4485.4399999999996</v>
      </c>
      <c r="DL9">
        <f>ROUND(J9*VLOOKUP($A9,'Present Values'!$A:$F,4)/VLOOKUP($A9,'Present Values'!$A:$F,2),2)</f>
        <v>5263.02</v>
      </c>
      <c r="DM9">
        <f>ROUND(K9*VLOOKUP($A9,'Present Values'!$A:$F,4)/VLOOKUP($A9,'Present Values'!$A:$F,2),2)</f>
        <v>5789.68</v>
      </c>
      <c r="DN9">
        <f>ROUND(L9*VLOOKUP($A9,'Present Values'!$A:$F,4)/VLOOKUP($A9,'Present Values'!$A:$F,2),2)</f>
        <v>6317.81</v>
      </c>
      <c r="DO9">
        <f>ROUND(M9*VLOOKUP($A9,'Present Values'!$A:$F,4)/VLOOKUP($A9,'Present Values'!$A:$F,2),2)</f>
        <v>6726.66</v>
      </c>
      <c r="DP9">
        <f>ROUND(N9*VLOOKUP($A9,'Present Values'!$A:$F,4)/VLOOKUP($A9,'Present Values'!$A:$F,2),2)</f>
        <v>7122.82</v>
      </c>
      <c r="DQ9">
        <f>ROUND(O9*VLOOKUP($A9,'Present Values'!$A:$F,4)/VLOOKUP($A9,'Present Values'!$A:$F,2),2)</f>
        <v>7503.34</v>
      </c>
      <c r="DR9">
        <f>ROUND(P9*VLOOKUP($A9,'Present Values'!$A:$F,4)/VLOOKUP($A9,'Present Values'!$A:$F,2),2)</f>
        <v>7853.19</v>
      </c>
      <c r="DS9">
        <f>ROUND(Q9*VLOOKUP($A9,'Present Values'!$A:$F,4)/VLOOKUP($A9,'Present Values'!$A:$F,2),2)</f>
        <v>8194.57</v>
      </c>
      <c r="DT9">
        <f>ROUND(R9*VLOOKUP($A9,'Present Values'!$A:$F,4)/VLOOKUP($A9,'Present Values'!$A:$F,2),2)</f>
        <v>8515.07</v>
      </c>
      <c r="DU9">
        <f>ROUND(S9*VLOOKUP($A9,'Present Values'!$A:$F,4)/VLOOKUP($A9,'Present Values'!$A:$F,2),2)</f>
        <v>8827.68</v>
      </c>
      <c r="DV9">
        <f>ROUND(T9*VLOOKUP($A9,'Present Values'!$A:$F,4)/VLOOKUP($A9,'Present Values'!$A:$F,2),2)</f>
        <v>9181.9599999999991</v>
      </c>
      <c r="DW9">
        <f>ROUND(U9*VLOOKUP($A9,'Present Values'!$A:$F,4)/VLOOKUP($A9,'Present Values'!$A:$F,2),2)</f>
        <v>9450.7099999999991</v>
      </c>
      <c r="DX9">
        <f>ROUND(V9*VLOOKUP($A9,'Present Values'!$A:$F,4)/VLOOKUP($A9,'Present Values'!$A:$F,2),2)</f>
        <v>9698.7099999999991</v>
      </c>
      <c r="DY9">
        <f>ROUND(W9*VLOOKUP($A9,'Present Values'!$A:$F,4)/VLOOKUP($A9,'Present Values'!$A:$F,2),2)</f>
        <v>9918.6200000000008</v>
      </c>
      <c r="DZ9">
        <f>ROUND(X9*VLOOKUP($A9,'Present Values'!$A:$F,4)/VLOOKUP($A9,'Present Values'!$A:$F,2),2)</f>
        <v>10102.19</v>
      </c>
      <c r="EA9">
        <f>ROUND(Y9*VLOOKUP($A9,'Present Values'!$A:$F,4)/VLOOKUP($A9,'Present Values'!$A:$F,2),2)</f>
        <v>10242.26</v>
      </c>
      <c r="EB9">
        <f>ROUND(Z9*VLOOKUP($A9,'Present Values'!$A:$F,4)/VLOOKUP($A9,'Present Values'!$A:$F,2),2)</f>
        <v>10330.030000000001</v>
      </c>
      <c r="EC9">
        <f>ROUND(AA9*VLOOKUP($A9,'Present Values'!$A:$F,4)/VLOOKUP($A9,'Present Values'!$A:$F,2),2)</f>
        <v>10356.870000000001</v>
      </c>
      <c r="ED9">
        <f>ROUND(AB9*VLOOKUP($A9,'Present Values'!$A:$F,4)/VLOOKUP($A9,'Present Values'!$A:$F,2),2)</f>
        <v>10316.14</v>
      </c>
      <c r="EE9">
        <f>ROUND(AC9*VLOOKUP($A9,'Present Values'!$A:$F,4)/VLOOKUP($A9,'Present Values'!$A:$F,2),2)</f>
        <v>10203.74</v>
      </c>
      <c r="EF9">
        <f>ROUND(AD9*VLOOKUP($A9,'Present Values'!$A:$F,4)/VLOOKUP($A9,'Present Values'!$A:$F,2),2)</f>
        <v>10014.75</v>
      </c>
      <c r="EG9">
        <f>ROUND(AE9*VLOOKUP($A9,'Present Values'!$A:$F,4)/VLOOKUP($A9,'Present Values'!$A:$F,2),2)</f>
        <v>9744.82</v>
      </c>
      <c r="EH9">
        <f>ROUND(AF9*VLOOKUP($A9,'Present Values'!$A:$F,4)/VLOOKUP($A9,'Present Values'!$A:$F,2),2)</f>
        <v>9372.7900000000009</v>
      </c>
      <c r="EI9">
        <f>ROUND(AG9*VLOOKUP($A9,'Present Values'!$A:$F,4)/VLOOKUP($A9,'Present Values'!$A:$F,2),2)</f>
        <v>8894.42</v>
      </c>
      <c r="EJ9">
        <f>ROUND(AH9*VLOOKUP($A9,'Present Values'!$A:$F,4)/VLOOKUP($A9,'Present Values'!$A:$F,2),2)</f>
        <v>8311.25</v>
      </c>
      <c r="EK9">
        <f>ROUND(AI9*VLOOKUP($A9,'Present Values'!$A:$F,4)/VLOOKUP($A9,'Present Values'!$A:$F,2),2)</f>
        <v>7630.76</v>
      </c>
      <c r="EL9">
        <f>ROUND(AJ9*VLOOKUP($A9,'Present Values'!$A:$F,4)/VLOOKUP($A9,'Present Values'!$A:$F,2),2)</f>
        <v>6869.13</v>
      </c>
      <c r="EM9">
        <f>ROUND(AK9*VLOOKUP($A9,'Present Values'!$A:$F,4)/VLOOKUP($A9,'Present Values'!$A:$F,2),2)</f>
        <v>6051.84</v>
      </c>
      <c r="EN9">
        <f>ROUND(AL9*VLOOKUP($A9,'Present Values'!$A:$F,4)/VLOOKUP($A9,'Present Values'!$A:$F,2),2)</f>
        <v>5210.3599999999997</v>
      </c>
      <c r="EO9">
        <f>ROUND(AM9*VLOOKUP($A9,'Present Values'!$A:$F,4)/VLOOKUP($A9,'Present Values'!$A:$F,2),2)</f>
        <v>4376.9799999999996</v>
      </c>
      <c r="EP9">
        <f>ROUND(AN9*VLOOKUP($A9,'Present Values'!$A:$F,4)/VLOOKUP($A9,'Present Values'!$A:$F,2),2)</f>
        <v>3581.32</v>
      </c>
      <c r="EQ9">
        <f>ROUND(AO9*VLOOKUP($A9,'Present Values'!$A:$F,4)/VLOOKUP($A9,'Present Values'!$A:$F,2),2)</f>
        <v>2848.57</v>
      </c>
      <c r="ER9">
        <f>ROUND(AP9*VLOOKUP($A9,'Present Values'!$A:$F,4)/VLOOKUP($A9,'Present Values'!$A:$F,2),2)</f>
        <v>2197.9699999999998</v>
      </c>
      <c r="ES9">
        <f>ROUND(AQ9*VLOOKUP($A9,'Present Values'!$A:$F,4)/VLOOKUP($A9,'Present Values'!$A:$F,2),2)</f>
        <v>1654.95</v>
      </c>
      <c r="ET9">
        <f>ROUND(AR9*VLOOKUP($A9,'Present Values'!$A:$F,4)/VLOOKUP($A9,'Present Values'!$A:$F,2),2)</f>
        <v>1204.51</v>
      </c>
      <c r="EU9">
        <f>ROUND(AS9*VLOOKUP($A9,'Present Values'!$A:$F,4)/VLOOKUP($A9,'Present Values'!$A:$F,2),2)</f>
        <v>857.3</v>
      </c>
      <c r="EV9">
        <f>ROUND(AT9*VLOOKUP($A9,'Present Values'!$A:$F,4)/VLOOKUP($A9,'Present Values'!$A:$F,2),2)</f>
        <v>578.45000000000005</v>
      </c>
      <c r="EW9">
        <f>ROUND(AU9*VLOOKUP($A9,'Present Values'!$A:$F,4)/VLOOKUP($A9,'Present Values'!$A:$F,2),2)</f>
        <v>367.89</v>
      </c>
      <c r="EX9">
        <f>ROUND(AV9*VLOOKUP($A9,'Present Values'!$A:$F,4)/VLOOKUP($A9,'Present Values'!$A:$F,2),2)</f>
        <v>211.43</v>
      </c>
      <c r="EY9">
        <f>ROUND(AW9*VLOOKUP($A9,'Present Values'!$A:$F,4)/VLOOKUP($A9,'Present Values'!$A:$F,2),2)</f>
        <v>106.91</v>
      </c>
      <c r="EZ9">
        <f>ROUND(AX9*VLOOKUP($A9,'Present Values'!$A:$F,4)/VLOOKUP($A9,'Present Values'!$A:$F,2),2)</f>
        <v>46.78</v>
      </c>
      <c r="FA9">
        <f>ROUND(AY9*VLOOKUP($A9,'Present Values'!$A:$F,4)/VLOOKUP($A9,'Present Values'!$A:$F,2),2)</f>
        <v>17.53</v>
      </c>
      <c r="FB9">
        <f>ROUND(AZ9*VLOOKUP($A9,'Present Values'!$A:$F,4)/VLOOKUP($A9,'Present Values'!$A:$F,2),2)</f>
        <v>5.36</v>
      </c>
      <c r="FC9">
        <f>ROUND(BA9*VLOOKUP($A9,'Present Values'!$A:$F,4)/VLOOKUP($A9,'Present Values'!$A:$F,2),2)</f>
        <v>1.23</v>
      </c>
      <c r="FD9">
        <f>ROUND(BB9*VLOOKUP($A9,'Present Values'!$A:$F,4)/VLOOKUP($A9,'Present Values'!$A:$F,2),2)</f>
        <v>0.18</v>
      </c>
      <c r="FE9">
        <f>ROUND(BC9*VLOOKUP($A9,'Present Values'!$A:$F,4)/VLOOKUP($A9,'Present Values'!$A:$F,2),2)</f>
        <v>0</v>
      </c>
      <c r="FF9">
        <f>ROUND(BD9*VLOOKUP($A9,'Present Values'!$A:$F,4)/VLOOKUP($A9,'Present Values'!$A:$F,2),2)</f>
        <v>0</v>
      </c>
      <c r="FG9">
        <f>ROUND(BE9*VLOOKUP($A9,'Present Values'!$A:$F,4)/VLOOKUP($A9,'Present Values'!$A:$F,2),2)</f>
        <v>0</v>
      </c>
      <c r="FH9">
        <f>ROUND(BF9*VLOOKUP($A9,'Present Values'!$A:$F,4)/VLOOKUP($A9,'Present Values'!$A:$F,2),2)</f>
        <v>0</v>
      </c>
      <c r="FI9">
        <f>ROUND(BG9*VLOOKUP($A9,'Present Values'!$A:$F,4)/VLOOKUP($A9,'Present Values'!$A:$F,2),2)</f>
        <v>0</v>
      </c>
      <c r="FJ9">
        <f>ROUND(BH9*VLOOKUP($A9,'Present Values'!$A:$F,4)/VLOOKUP($A9,'Present Values'!$A:$F,2),2)</f>
        <v>0</v>
      </c>
      <c r="FK9">
        <f>ROUND(BI9*VLOOKUP($A9,'Present Values'!$A:$F,4)/VLOOKUP($A9,'Present Values'!$A:$F,2),2)</f>
        <v>0</v>
      </c>
      <c r="FL9">
        <f>ROUND(BJ9*VLOOKUP($A9,'Present Values'!$A:$F,4)/VLOOKUP($A9,'Present Values'!$A:$F,2),2)</f>
        <v>0</v>
      </c>
      <c r="FM9">
        <f>ROUND(BK9*VLOOKUP($A9,'Present Values'!$A:$F,4)/VLOOKUP($A9,'Present Values'!$A:$F,2),2)</f>
        <v>0</v>
      </c>
      <c r="FN9">
        <f>ROUND(BL9*VLOOKUP($A9,'Present Values'!$A:$F,4)/VLOOKUP($A9,'Present Values'!$A:$F,2),2)</f>
        <v>0</v>
      </c>
      <c r="FO9">
        <f>ROUND(BM9*VLOOKUP($A9,'Present Values'!$A:$F,4)/VLOOKUP($A9,'Present Values'!$A:$F,2),2)</f>
        <v>0</v>
      </c>
      <c r="FP9">
        <f>ROUND(BN9*VLOOKUP($A9,'Present Values'!$A:$F,4)/VLOOKUP($A9,'Present Values'!$A:$F,2),2)</f>
        <v>0</v>
      </c>
      <c r="FQ9">
        <f>ROUND(BO9*VLOOKUP($A9,'Present Values'!$A:$F,4)/VLOOKUP($A9,'Present Values'!$A:$F,2),2)</f>
        <v>0</v>
      </c>
      <c r="FR9">
        <f>ROUND(BP9*VLOOKUP($A9,'Present Values'!$A:$F,4)/VLOOKUP($A9,'Present Values'!$A:$F,2),2)</f>
        <v>0</v>
      </c>
      <c r="FS9">
        <f>ROUND(BQ9*VLOOKUP($A9,'Present Values'!$A:$F,4)/VLOOKUP($A9,'Present Values'!$A:$F,2),2)</f>
        <v>0</v>
      </c>
      <c r="FT9">
        <f>ROUND(BR9*VLOOKUP($A9,'Present Values'!$A:$F,4)/VLOOKUP($A9,'Present Values'!$A:$F,2),2)</f>
        <v>0</v>
      </c>
      <c r="FU9">
        <f>ROUND(BS9*VLOOKUP($A9,'Present Values'!$A:$F,4)/VLOOKUP($A9,'Present Values'!$A:$F,2),2)</f>
        <v>0</v>
      </c>
      <c r="FV9">
        <f>ROUND(BT9*VLOOKUP($A9,'Present Values'!$A:$F,4)/VLOOKUP($A9,'Present Values'!$A:$F,2),2)</f>
        <v>0</v>
      </c>
      <c r="FW9">
        <f>ROUND(BU9*VLOOKUP($A9,'Present Values'!$A:$F,4)/VLOOKUP($A9,'Present Values'!$A:$F,2),2)</f>
        <v>0</v>
      </c>
      <c r="FX9">
        <f>ROUND(BV9*VLOOKUP($A9,'Present Values'!$A:$F,4)/VLOOKUP($A9,'Present Values'!$A:$F,2),2)</f>
        <v>0</v>
      </c>
      <c r="FY9">
        <f>ROUND(BW9*VLOOKUP($A9,'Present Values'!$A:$F,4)/VLOOKUP($A9,'Present Values'!$A:$F,2),2)</f>
        <v>0</v>
      </c>
      <c r="FZ9">
        <f>ROUND(BX9*VLOOKUP($A9,'Present Values'!$A:$F,4)/VLOOKUP($A9,'Present Values'!$A:$F,2),2)</f>
        <v>0</v>
      </c>
      <c r="GA9">
        <f>ROUND(BY9*VLOOKUP($A9,'Present Values'!$A:$F,4)/VLOOKUP($A9,'Present Values'!$A:$F,2),2)</f>
        <v>0</v>
      </c>
      <c r="GB9">
        <f>ROUND(BZ9*VLOOKUP($A9,'Present Values'!$A:$F,4)/VLOOKUP($A9,'Present Values'!$A:$F,2),2)</f>
        <v>0</v>
      </c>
      <c r="GC9">
        <f>ROUND(CA9*VLOOKUP($A9,'Present Values'!$A:$F,4)/VLOOKUP($A9,'Present Values'!$A:$F,2),2)</f>
        <v>0</v>
      </c>
      <c r="GD9">
        <f>ROUND(CB9*VLOOKUP($A9,'Present Values'!$A:$F,4)/VLOOKUP($A9,'Present Values'!$A:$F,2),2)</f>
        <v>0</v>
      </c>
      <c r="GE9">
        <f>ROUND(CC9*VLOOKUP($A9,'Present Values'!$A:$F,4)/VLOOKUP($A9,'Present Values'!$A:$F,2),2)</f>
        <v>0</v>
      </c>
      <c r="GF9">
        <f>ROUND(CD9*VLOOKUP($A9,'Present Values'!$A:$F,4)/VLOOKUP($A9,'Present Values'!$A:$F,2),2)</f>
        <v>0</v>
      </c>
      <c r="GG9">
        <f>ROUND(CE9*VLOOKUP($A9,'Present Values'!$A:$F,4)/VLOOKUP($A9,'Present Values'!$A:$F,2),2)</f>
        <v>0</v>
      </c>
      <c r="GH9">
        <f>ROUND(CF9*VLOOKUP($A9,'Present Values'!$A:$F,4)/VLOOKUP($A9,'Present Values'!$A:$F,2),2)</f>
        <v>0</v>
      </c>
      <c r="GI9">
        <f>ROUND(CG9*VLOOKUP($A9,'Present Values'!$A:$F,4)/VLOOKUP($A9,'Present Values'!$A:$F,2),2)</f>
        <v>0</v>
      </c>
      <c r="GJ9">
        <f>ROUND(CH9*VLOOKUP($A9,'Present Values'!$A:$F,4)/VLOOKUP($A9,'Present Values'!$A:$F,2),2)</f>
        <v>0</v>
      </c>
      <c r="GK9">
        <f>ROUND(CI9*VLOOKUP($A9,'Present Values'!$A:$F,4)/VLOOKUP($A9,'Present Values'!$A:$F,2),2)</f>
        <v>0</v>
      </c>
      <c r="GL9">
        <f>ROUND(CJ9*VLOOKUP($A9,'Present Values'!$A:$F,4)/VLOOKUP($A9,'Present Values'!$A:$F,2),2)</f>
        <v>0</v>
      </c>
      <c r="GM9">
        <f>ROUND(CK9*VLOOKUP($A9,'Present Values'!$A:$F,4)/VLOOKUP($A9,'Present Values'!$A:$F,2),2)</f>
        <v>0</v>
      </c>
      <c r="GN9">
        <f>ROUND(CL9*VLOOKUP($A9,'Present Values'!$A:$F,4)/VLOOKUP($A9,'Present Values'!$A:$F,2),2)</f>
        <v>0</v>
      </c>
      <c r="GO9">
        <f>ROUND(CM9*VLOOKUP($A9,'Present Values'!$A:$F,4)/VLOOKUP($A9,'Present Values'!$A:$F,2),2)</f>
        <v>0</v>
      </c>
      <c r="GP9">
        <f>ROUND(CN9*VLOOKUP($A9,'Present Values'!$A:$F,4)/VLOOKUP($A9,'Present Values'!$A:$F,2),2)</f>
        <v>0</v>
      </c>
      <c r="GQ9">
        <f>ROUND(CO9*VLOOKUP($A9,'Present Values'!$A:$F,4)/VLOOKUP($A9,'Present Values'!$A:$F,2),2)</f>
        <v>0</v>
      </c>
      <c r="GR9">
        <f>ROUND(CP9*VLOOKUP($A9,'Present Values'!$A:$F,4)/VLOOKUP($A9,'Present Values'!$A:$F,2),2)</f>
        <v>0</v>
      </c>
      <c r="GS9">
        <f>ROUND(CQ9*VLOOKUP($A9,'Present Values'!$A:$F,4)/VLOOKUP($A9,'Present Values'!$A:$F,2),2)</f>
        <v>0</v>
      </c>
      <c r="GT9">
        <f>ROUND(CR9*VLOOKUP($A9,'Present Values'!$A:$F,4)/VLOOKUP($A9,'Present Values'!$A:$F,2),2)</f>
        <v>0</v>
      </c>
      <c r="GU9">
        <f>ROUND(CS9*VLOOKUP($A9,'Present Values'!$A:$F,4)/VLOOKUP($A9,'Present Values'!$A:$F,2),2)</f>
        <v>0</v>
      </c>
      <c r="GV9">
        <f>ROUND(CT9*VLOOKUP($A9,'Present Values'!$A:$F,4)/VLOOKUP($A9,'Present Values'!$A:$F,2),2)</f>
        <v>0</v>
      </c>
      <c r="GW9">
        <f>ROUND(CU9*VLOOKUP($A9,'Present Values'!$A:$F,4)/VLOOKUP($A9,'Present Values'!$A:$F,2),2)</f>
        <v>0</v>
      </c>
      <c r="GX9">
        <f>ROUND(CV9*VLOOKUP($A9,'Present Values'!$A:$F,4)/VLOOKUP($A9,'Present Values'!$A:$F,2),2)</f>
        <v>0</v>
      </c>
      <c r="GY9">
        <f>ROUND(CW9*VLOOKUP($A9,'Present Values'!$A:$F,4)/VLOOKUP($A9,'Present Values'!$A:$F,2),2)</f>
        <v>0</v>
      </c>
      <c r="HA9" s="3">
        <f>NPV(Assumptions!$C$9, DD9:GY9)*(1+Assumptions!$C$9)</f>
        <v>138904.89027524795</v>
      </c>
      <c r="HB9" s="12">
        <f>'Present Values'!D9</f>
        <v>138904.9</v>
      </c>
      <c r="HD9" s="3">
        <f>NPV(Assumptions!$C$9+0.01,Payouts!$B9:$CW9)*(1.01+Assumptions!$C$9)</f>
        <v>117276.06000429305</v>
      </c>
      <c r="HE9" s="3">
        <f>NPV(Assumptions!$C$9-0.01,Payouts!$B9:$CW9)*(0.99+Assumptions!$C$9)</f>
        <v>166231.41175444893</v>
      </c>
      <c r="HG9" s="3">
        <f>IF(AND(AMMset!D6&gt;0,'Present Values'!F9&gt;0),NPV(Assumptions!$C$9+0.01,Payouts!$DD9:$GY9)*(1.01+Assumptions!$C$9)/AMMset!D6, 0)</f>
        <v>0</v>
      </c>
      <c r="HH9" s="3">
        <f>IF(AND(AMMset!D6&gt;0,'Present Values'!F9&gt;0),NPV(Assumptions!$C$9-0.01,Payouts!$DD9:$GY9)*(0.99+Assumptions!$C$9)/AMMset!D6, 0)</f>
        <v>0</v>
      </c>
      <c r="HJ9" s="12">
        <v>5967.92</v>
      </c>
      <c r="HK9" s="12">
        <v>6858.5</v>
      </c>
      <c r="HM9" s="12">
        <v>84733.32</v>
      </c>
      <c r="HN9" s="12">
        <v>126510.47</v>
      </c>
    </row>
    <row r="10" spans="1:222" x14ac:dyDescent="0.25">
      <c r="A10">
        <v>6</v>
      </c>
      <c r="B10">
        <v>0</v>
      </c>
      <c r="C10">
        <v>172.01</v>
      </c>
      <c r="D10">
        <v>347.55</v>
      </c>
      <c r="E10">
        <v>630.25</v>
      </c>
      <c r="F10">
        <v>1076.78</v>
      </c>
      <c r="G10">
        <v>1478.97</v>
      </c>
      <c r="H10">
        <v>2056.11</v>
      </c>
      <c r="I10">
        <v>2739.85</v>
      </c>
      <c r="J10">
        <v>3606.81</v>
      </c>
      <c r="K10">
        <v>5074.1099999999997</v>
      </c>
      <c r="L10">
        <v>6893.53</v>
      </c>
      <c r="M10">
        <v>9706.77</v>
      </c>
      <c r="N10">
        <v>12294.03</v>
      </c>
      <c r="O10">
        <v>5953.83</v>
      </c>
      <c r="P10">
        <v>6930.99</v>
      </c>
      <c r="Q10">
        <v>7631.95</v>
      </c>
      <c r="R10">
        <v>8358.0400000000009</v>
      </c>
      <c r="S10">
        <v>8931.26</v>
      </c>
      <c r="T10">
        <v>9494.84</v>
      </c>
      <c r="U10">
        <v>10040.81</v>
      </c>
      <c r="V10">
        <v>10539.43</v>
      </c>
      <c r="W10">
        <v>11028.27</v>
      </c>
      <c r="X10">
        <v>11478.83</v>
      </c>
      <c r="Y10">
        <v>11919.16</v>
      </c>
      <c r="Z10">
        <v>12466.82</v>
      </c>
      <c r="AA10">
        <v>12831.71</v>
      </c>
      <c r="AB10">
        <v>13168.42</v>
      </c>
      <c r="AC10">
        <v>13467.01</v>
      </c>
      <c r="AD10">
        <v>13716.25</v>
      </c>
      <c r="AE10">
        <v>13906.43</v>
      </c>
      <c r="AF10">
        <v>14025.6</v>
      </c>
      <c r="AG10">
        <v>14062.04</v>
      </c>
      <c r="AH10">
        <v>14006.75</v>
      </c>
      <c r="AI10">
        <v>13854.14</v>
      </c>
      <c r="AJ10">
        <v>13597.52</v>
      </c>
      <c r="AK10">
        <v>13231.03</v>
      </c>
      <c r="AL10">
        <v>12725.91</v>
      </c>
      <c r="AM10">
        <v>12076.4</v>
      </c>
      <c r="AN10">
        <v>11284.61</v>
      </c>
      <c r="AO10">
        <v>10360.67</v>
      </c>
      <c r="AP10">
        <v>9326.57</v>
      </c>
      <c r="AQ10">
        <v>8216.89</v>
      </c>
      <c r="AR10">
        <v>7074.36</v>
      </c>
      <c r="AS10">
        <v>5942.85</v>
      </c>
      <c r="AT10">
        <v>4862.53</v>
      </c>
      <c r="AU10">
        <v>3867.64</v>
      </c>
      <c r="AV10">
        <v>2984.29</v>
      </c>
      <c r="AW10">
        <v>2247</v>
      </c>
      <c r="AX10">
        <v>1635.42</v>
      </c>
      <c r="AY10">
        <v>1164</v>
      </c>
      <c r="AZ10">
        <v>785.39</v>
      </c>
      <c r="BA10">
        <v>499.51</v>
      </c>
      <c r="BB10">
        <v>287.07</v>
      </c>
      <c r="BC10">
        <v>145.16</v>
      </c>
      <c r="BD10">
        <v>63.51</v>
      </c>
      <c r="BE10">
        <v>23.8</v>
      </c>
      <c r="BF10">
        <v>7.27</v>
      </c>
      <c r="BG10">
        <v>1.67</v>
      </c>
      <c r="BH10">
        <v>0.24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Y10" s="3">
        <f>NPV(Assumptions!$C$9, B10:CW10)*(1+Assumptions!$C$9)</f>
        <v>159432.12368382493</v>
      </c>
      <c r="CZ10" s="12">
        <f>'Present Values'!B10</f>
        <v>159432.12</v>
      </c>
      <c r="DD10">
        <f>ROUND(B10*VLOOKUP($A10,'Present Values'!$A:$F,4)/VLOOKUP($A10,'Present Values'!$A:$F,2),2)</f>
        <v>0</v>
      </c>
      <c r="DE10">
        <f>ROUND(C10*VLOOKUP($A10,'Present Values'!$A:$F,4)/VLOOKUP($A10,'Present Values'!$A:$F,2),2)</f>
        <v>172.01</v>
      </c>
      <c r="DF10">
        <f>ROUND(D10*VLOOKUP($A10,'Present Values'!$A:$F,4)/VLOOKUP($A10,'Present Values'!$A:$F,2),2)</f>
        <v>347.55</v>
      </c>
      <c r="DG10">
        <f>ROUND(E10*VLOOKUP($A10,'Present Values'!$A:$F,4)/VLOOKUP($A10,'Present Values'!$A:$F,2),2)</f>
        <v>630.25</v>
      </c>
      <c r="DH10">
        <f>ROUND(F10*VLOOKUP($A10,'Present Values'!$A:$F,4)/VLOOKUP($A10,'Present Values'!$A:$F,2),2)</f>
        <v>1076.78</v>
      </c>
      <c r="DI10">
        <f>ROUND(G10*VLOOKUP($A10,'Present Values'!$A:$F,4)/VLOOKUP($A10,'Present Values'!$A:$F,2),2)</f>
        <v>1478.97</v>
      </c>
      <c r="DJ10">
        <f>ROUND(H10*VLOOKUP($A10,'Present Values'!$A:$F,4)/VLOOKUP($A10,'Present Values'!$A:$F,2),2)</f>
        <v>2056.11</v>
      </c>
      <c r="DK10">
        <f>ROUND(I10*VLOOKUP($A10,'Present Values'!$A:$F,4)/VLOOKUP($A10,'Present Values'!$A:$F,2),2)</f>
        <v>2739.85</v>
      </c>
      <c r="DL10">
        <f>ROUND(J10*VLOOKUP($A10,'Present Values'!$A:$F,4)/VLOOKUP($A10,'Present Values'!$A:$F,2),2)</f>
        <v>3606.81</v>
      </c>
      <c r="DM10">
        <f>ROUND(K10*VLOOKUP($A10,'Present Values'!$A:$F,4)/VLOOKUP($A10,'Present Values'!$A:$F,2),2)</f>
        <v>5074.1099999999997</v>
      </c>
      <c r="DN10">
        <f>ROUND(L10*VLOOKUP($A10,'Present Values'!$A:$F,4)/VLOOKUP($A10,'Present Values'!$A:$F,2),2)</f>
        <v>6893.53</v>
      </c>
      <c r="DO10">
        <f>ROUND(M10*VLOOKUP($A10,'Present Values'!$A:$F,4)/VLOOKUP($A10,'Present Values'!$A:$F,2),2)</f>
        <v>9706.77</v>
      </c>
      <c r="DP10">
        <f>ROUND(N10*VLOOKUP($A10,'Present Values'!$A:$F,4)/VLOOKUP($A10,'Present Values'!$A:$F,2),2)</f>
        <v>12294.03</v>
      </c>
      <c r="DQ10">
        <f>ROUND(O10*VLOOKUP($A10,'Present Values'!$A:$F,4)/VLOOKUP($A10,'Present Values'!$A:$F,2),2)</f>
        <v>5953.83</v>
      </c>
      <c r="DR10">
        <f>ROUND(P10*VLOOKUP($A10,'Present Values'!$A:$F,4)/VLOOKUP($A10,'Present Values'!$A:$F,2),2)</f>
        <v>6930.99</v>
      </c>
      <c r="DS10">
        <f>ROUND(Q10*VLOOKUP($A10,'Present Values'!$A:$F,4)/VLOOKUP($A10,'Present Values'!$A:$F,2),2)</f>
        <v>7631.95</v>
      </c>
      <c r="DT10">
        <f>ROUND(R10*VLOOKUP($A10,'Present Values'!$A:$F,4)/VLOOKUP($A10,'Present Values'!$A:$F,2),2)</f>
        <v>8358.0400000000009</v>
      </c>
      <c r="DU10">
        <f>ROUND(S10*VLOOKUP($A10,'Present Values'!$A:$F,4)/VLOOKUP($A10,'Present Values'!$A:$F,2),2)</f>
        <v>8931.26</v>
      </c>
      <c r="DV10">
        <f>ROUND(T10*VLOOKUP($A10,'Present Values'!$A:$F,4)/VLOOKUP($A10,'Present Values'!$A:$F,2),2)</f>
        <v>9494.84</v>
      </c>
      <c r="DW10">
        <f>ROUND(U10*VLOOKUP($A10,'Present Values'!$A:$F,4)/VLOOKUP($A10,'Present Values'!$A:$F,2),2)</f>
        <v>10040.81</v>
      </c>
      <c r="DX10">
        <f>ROUND(V10*VLOOKUP($A10,'Present Values'!$A:$F,4)/VLOOKUP($A10,'Present Values'!$A:$F,2),2)</f>
        <v>10539.43</v>
      </c>
      <c r="DY10">
        <f>ROUND(W10*VLOOKUP($A10,'Present Values'!$A:$F,4)/VLOOKUP($A10,'Present Values'!$A:$F,2),2)</f>
        <v>11028.27</v>
      </c>
      <c r="DZ10">
        <f>ROUND(X10*VLOOKUP($A10,'Present Values'!$A:$F,4)/VLOOKUP($A10,'Present Values'!$A:$F,2),2)</f>
        <v>11478.83</v>
      </c>
      <c r="EA10">
        <f>ROUND(Y10*VLOOKUP($A10,'Present Values'!$A:$F,4)/VLOOKUP($A10,'Present Values'!$A:$F,2),2)</f>
        <v>11919.16</v>
      </c>
      <c r="EB10">
        <f>ROUND(Z10*VLOOKUP($A10,'Present Values'!$A:$F,4)/VLOOKUP($A10,'Present Values'!$A:$F,2),2)</f>
        <v>12466.82</v>
      </c>
      <c r="EC10">
        <f>ROUND(AA10*VLOOKUP($A10,'Present Values'!$A:$F,4)/VLOOKUP($A10,'Present Values'!$A:$F,2),2)</f>
        <v>12831.71</v>
      </c>
      <c r="ED10">
        <f>ROUND(AB10*VLOOKUP($A10,'Present Values'!$A:$F,4)/VLOOKUP($A10,'Present Values'!$A:$F,2),2)</f>
        <v>13168.42</v>
      </c>
      <c r="EE10">
        <f>ROUND(AC10*VLOOKUP($A10,'Present Values'!$A:$F,4)/VLOOKUP($A10,'Present Values'!$A:$F,2),2)</f>
        <v>13467.01</v>
      </c>
      <c r="EF10">
        <f>ROUND(AD10*VLOOKUP($A10,'Present Values'!$A:$F,4)/VLOOKUP($A10,'Present Values'!$A:$F,2),2)</f>
        <v>13716.25</v>
      </c>
      <c r="EG10">
        <f>ROUND(AE10*VLOOKUP($A10,'Present Values'!$A:$F,4)/VLOOKUP($A10,'Present Values'!$A:$F,2),2)</f>
        <v>13906.43</v>
      </c>
      <c r="EH10">
        <f>ROUND(AF10*VLOOKUP($A10,'Present Values'!$A:$F,4)/VLOOKUP($A10,'Present Values'!$A:$F,2),2)</f>
        <v>14025.6</v>
      </c>
      <c r="EI10">
        <f>ROUND(AG10*VLOOKUP($A10,'Present Values'!$A:$F,4)/VLOOKUP($A10,'Present Values'!$A:$F,2),2)</f>
        <v>14062.04</v>
      </c>
      <c r="EJ10">
        <f>ROUND(AH10*VLOOKUP($A10,'Present Values'!$A:$F,4)/VLOOKUP($A10,'Present Values'!$A:$F,2),2)</f>
        <v>14006.75</v>
      </c>
      <c r="EK10">
        <f>ROUND(AI10*VLOOKUP($A10,'Present Values'!$A:$F,4)/VLOOKUP($A10,'Present Values'!$A:$F,2),2)</f>
        <v>13854.14</v>
      </c>
      <c r="EL10">
        <f>ROUND(AJ10*VLOOKUP($A10,'Present Values'!$A:$F,4)/VLOOKUP($A10,'Present Values'!$A:$F,2),2)</f>
        <v>13597.52</v>
      </c>
      <c r="EM10">
        <f>ROUND(AK10*VLOOKUP($A10,'Present Values'!$A:$F,4)/VLOOKUP($A10,'Present Values'!$A:$F,2),2)</f>
        <v>13231.03</v>
      </c>
      <c r="EN10">
        <f>ROUND(AL10*VLOOKUP($A10,'Present Values'!$A:$F,4)/VLOOKUP($A10,'Present Values'!$A:$F,2),2)</f>
        <v>12725.91</v>
      </c>
      <c r="EO10">
        <f>ROUND(AM10*VLOOKUP($A10,'Present Values'!$A:$F,4)/VLOOKUP($A10,'Present Values'!$A:$F,2),2)</f>
        <v>12076.4</v>
      </c>
      <c r="EP10">
        <f>ROUND(AN10*VLOOKUP($A10,'Present Values'!$A:$F,4)/VLOOKUP($A10,'Present Values'!$A:$F,2),2)</f>
        <v>11284.61</v>
      </c>
      <c r="EQ10">
        <f>ROUND(AO10*VLOOKUP($A10,'Present Values'!$A:$F,4)/VLOOKUP($A10,'Present Values'!$A:$F,2),2)</f>
        <v>10360.67</v>
      </c>
      <c r="ER10">
        <f>ROUND(AP10*VLOOKUP($A10,'Present Values'!$A:$F,4)/VLOOKUP($A10,'Present Values'!$A:$F,2),2)</f>
        <v>9326.57</v>
      </c>
      <c r="ES10">
        <f>ROUND(AQ10*VLOOKUP($A10,'Present Values'!$A:$F,4)/VLOOKUP($A10,'Present Values'!$A:$F,2),2)</f>
        <v>8216.89</v>
      </c>
      <c r="ET10">
        <f>ROUND(AR10*VLOOKUP($A10,'Present Values'!$A:$F,4)/VLOOKUP($A10,'Present Values'!$A:$F,2),2)</f>
        <v>7074.36</v>
      </c>
      <c r="EU10">
        <f>ROUND(AS10*VLOOKUP($A10,'Present Values'!$A:$F,4)/VLOOKUP($A10,'Present Values'!$A:$F,2),2)</f>
        <v>5942.85</v>
      </c>
      <c r="EV10">
        <f>ROUND(AT10*VLOOKUP($A10,'Present Values'!$A:$F,4)/VLOOKUP($A10,'Present Values'!$A:$F,2),2)</f>
        <v>4862.53</v>
      </c>
      <c r="EW10">
        <f>ROUND(AU10*VLOOKUP($A10,'Present Values'!$A:$F,4)/VLOOKUP($A10,'Present Values'!$A:$F,2),2)</f>
        <v>3867.64</v>
      </c>
      <c r="EX10">
        <f>ROUND(AV10*VLOOKUP($A10,'Present Values'!$A:$F,4)/VLOOKUP($A10,'Present Values'!$A:$F,2),2)</f>
        <v>2984.29</v>
      </c>
      <c r="EY10">
        <f>ROUND(AW10*VLOOKUP($A10,'Present Values'!$A:$F,4)/VLOOKUP($A10,'Present Values'!$A:$F,2),2)</f>
        <v>2247</v>
      </c>
      <c r="EZ10">
        <f>ROUND(AX10*VLOOKUP($A10,'Present Values'!$A:$F,4)/VLOOKUP($A10,'Present Values'!$A:$F,2),2)</f>
        <v>1635.42</v>
      </c>
      <c r="FA10">
        <f>ROUND(AY10*VLOOKUP($A10,'Present Values'!$A:$F,4)/VLOOKUP($A10,'Present Values'!$A:$F,2),2)</f>
        <v>1164</v>
      </c>
      <c r="FB10">
        <f>ROUND(AZ10*VLOOKUP($A10,'Present Values'!$A:$F,4)/VLOOKUP($A10,'Present Values'!$A:$F,2),2)</f>
        <v>785.39</v>
      </c>
      <c r="FC10">
        <f>ROUND(BA10*VLOOKUP($A10,'Present Values'!$A:$F,4)/VLOOKUP($A10,'Present Values'!$A:$F,2),2)</f>
        <v>499.51</v>
      </c>
      <c r="FD10">
        <f>ROUND(BB10*VLOOKUP($A10,'Present Values'!$A:$F,4)/VLOOKUP($A10,'Present Values'!$A:$F,2),2)</f>
        <v>287.07</v>
      </c>
      <c r="FE10">
        <f>ROUND(BC10*VLOOKUP($A10,'Present Values'!$A:$F,4)/VLOOKUP($A10,'Present Values'!$A:$F,2),2)</f>
        <v>145.16</v>
      </c>
      <c r="FF10">
        <f>ROUND(BD10*VLOOKUP($A10,'Present Values'!$A:$F,4)/VLOOKUP($A10,'Present Values'!$A:$F,2),2)</f>
        <v>63.51</v>
      </c>
      <c r="FG10">
        <f>ROUND(BE10*VLOOKUP($A10,'Present Values'!$A:$F,4)/VLOOKUP($A10,'Present Values'!$A:$F,2),2)</f>
        <v>23.8</v>
      </c>
      <c r="FH10">
        <f>ROUND(BF10*VLOOKUP($A10,'Present Values'!$A:$F,4)/VLOOKUP($A10,'Present Values'!$A:$F,2),2)</f>
        <v>7.27</v>
      </c>
      <c r="FI10">
        <f>ROUND(BG10*VLOOKUP($A10,'Present Values'!$A:$F,4)/VLOOKUP($A10,'Present Values'!$A:$F,2),2)</f>
        <v>1.67</v>
      </c>
      <c r="FJ10">
        <f>ROUND(BH10*VLOOKUP($A10,'Present Values'!$A:$F,4)/VLOOKUP($A10,'Present Values'!$A:$F,2),2)</f>
        <v>0.24</v>
      </c>
      <c r="FK10">
        <f>ROUND(BI10*VLOOKUP($A10,'Present Values'!$A:$F,4)/VLOOKUP($A10,'Present Values'!$A:$F,2),2)</f>
        <v>0</v>
      </c>
      <c r="FL10">
        <f>ROUND(BJ10*VLOOKUP($A10,'Present Values'!$A:$F,4)/VLOOKUP($A10,'Present Values'!$A:$F,2),2)</f>
        <v>0</v>
      </c>
      <c r="FM10">
        <f>ROUND(BK10*VLOOKUP($A10,'Present Values'!$A:$F,4)/VLOOKUP($A10,'Present Values'!$A:$F,2),2)</f>
        <v>0</v>
      </c>
      <c r="FN10">
        <f>ROUND(BL10*VLOOKUP($A10,'Present Values'!$A:$F,4)/VLOOKUP($A10,'Present Values'!$A:$F,2),2)</f>
        <v>0</v>
      </c>
      <c r="FO10">
        <f>ROUND(BM10*VLOOKUP($A10,'Present Values'!$A:$F,4)/VLOOKUP($A10,'Present Values'!$A:$F,2),2)</f>
        <v>0</v>
      </c>
      <c r="FP10">
        <f>ROUND(BN10*VLOOKUP($A10,'Present Values'!$A:$F,4)/VLOOKUP($A10,'Present Values'!$A:$F,2),2)</f>
        <v>0</v>
      </c>
      <c r="FQ10">
        <f>ROUND(BO10*VLOOKUP($A10,'Present Values'!$A:$F,4)/VLOOKUP($A10,'Present Values'!$A:$F,2),2)</f>
        <v>0</v>
      </c>
      <c r="FR10">
        <f>ROUND(BP10*VLOOKUP($A10,'Present Values'!$A:$F,4)/VLOOKUP($A10,'Present Values'!$A:$F,2),2)</f>
        <v>0</v>
      </c>
      <c r="FS10">
        <f>ROUND(BQ10*VLOOKUP($A10,'Present Values'!$A:$F,4)/VLOOKUP($A10,'Present Values'!$A:$F,2),2)</f>
        <v>0</v>
      </c>
      <c r="FT10">
        <f>ROUND(BR10*VLOOKUP($A10,'Present Values'!$A:$F,4)/VLOOKUP($A10,'Present Values'!$A:$F,2),2)</f>
        <v>0</v>
      </c>
      <c r="FU10">
        <f>ROUND(BS10*VLOOKUP($A10,'Present Values'!$A:$F,4)/VLOOKUP($A10,'Present Values'!$A:$F,2),2)</f>
        <v>0</v>
      </c>
      <c r="FV10">
        <f>ROUND(BT10*VLOOKUP($A10,'Present Values'!$A:$F,4)/VLOOKUP($A10,'Present Values'!$A:$F,2),2)</f>
        <v>0</v>
      </c>
      <c r="FW10">
        <f>ROUND(BU10*VLOOKUP($A10,'Present Values'!$A:$F,4)/VLOOKUP($A10,'Present Values'!$A:$F,2),2)</f>
        <v>0</v>
      </c>
      <c r="FX10">
        <f>ROUND(BV10*VLOOKUP($A10,'Present Values'!$A:$F,4)/VLOOKUP($A10,'Present Values'!$A:$F,2),2)</f>
        <v>0</v>
      </c>
      <c r="FY10">
        <f>ROUND(BW10*VLOOKUP($A10,'Present Values'!$A:$F,4)/VLOOKUP($A10,'Present Values'!$A:$F,2),2)</f>
        <v>0</v>
      </c>
      <c r="FZ10">
        <f>ROUND(BX10*VLOOKUP($A10,'Present Values'!$A:$F,4)/VLOOKUP($A10,'Present Values'!$A:$F,2),2)</f>
        <v>0</v>
      </c>
      <c r="GA10">
        <f>ROUND(BY10*VLOOKUP($A10,'Present Values'!$A:$F,4)/VLOOKUP($A10,'Present Values'!$A:$F,2),2)</f>
        <v>0</v>
      </c>
      <c r="GB10">
        <f>ROUND(BZ10*VLOOKUP($A10,'Present Values'!$A:$F,4)/VLOOKUP($A10,'Present Values'!$A:$F,2),2)</f>
        <v>0</v>
      </c>
      <c r="GC10">
        <f>ROUND(CA10*VLOOKUP($A10,'Present Values'!$A:$F,4)/VLOOKUP($A10,'Present Values'!$A:$F,2),2)</f>
        <v>0</v>
      </c>
      <c r="GD10">
        <f>ROUND(CB10*VLOOKUP($A10,'Present Values'!$A:$F,4)/VLOOKUP($A10,'Present Values'!$A:$F,2),2)</f>
        <v>0</v>
      </c>
      <c r="GE10">
        <f>ROUND(CC10*VLOOKUP($A10,'Present Values'!$A:$F,4)/VLOOKUP($A10,'Present Values'!$A:$F,2),2)</f>
        <v>0</v>
      </c>
      <c r="GF10">
        <f>ROUND(CD10*VLOOKUP($A10,'Present Values'!$A:$F,4)/VLOOKUP($A10,'Present Values'!$A:$F,2),2)</f>
        <v>0</v>
      </c>
      <c r="GG10">
        <f>ROUND(CE10*VLOOKUP($A10,'Present Values'!$A:$F,4)/VLOOKUP($A10,'Present Values'!$A:$F,2),2)</f>
        <v>0</v>
      </c>
      <c r="GH10">
        <f>ROUND(CF10*VLOOKUP($A10,'Present Values'!$A:$F,4)/VLOOKUP($A10,'Present Values'!$A:$F,2),2)</f>
        <v>0</v>
      </c>
      <c r="GI10">
        <f>ROUND(CG10*VLOOKUP($A10,'Present Values'!$A:$F,4)/VLOOKUP($A10,'Present Values'!$A:$F,2),2)</f>
        <v>0</v>
      </c>
      <c r="GJ10">
        <f>ROUND(CH10*VLOOKUP($A10,'Present Values'!$A:$F,4)/VLOOKUP($A10,'Present Values'!$A:$F,2),2)</f>
        <v>0</v>
      </c>
      <c r="GK10">
        <f>ROUND(CI10*VLOOKUP($A10,'Present Values'!$A:$F,4)/VLOOKUP($A10,'Present Values'!$A:$F,2),2)</f>
        <v>0</v>
      </c>
      <c r="GL10">
        <f>ROUND(CJ10*VLOOKUP($A10,'Present Values'!$A:$F,4)/VLOOKUP($A10,'Present Values'!$A:$F,2),2)</f>
        <v>0</v>
      </c>
      <c r="GM10">
        <f>ROUND(CK10*VLOOKUP($A10,'Present Values'!$A:$F,4)/VLOOKUP($A10,'Present Values'!$A:$F,2),2)</f>
        <v>0</v>
      </c>
      <c r="GN10">
        <f>ROUND(CL10*VLOOKUP($A10,'Present Values'!$A:$F,4)/VLOOKUP($A10,'Present Values'!$A:$F,2),2)</f>
        <v>0</v>
      </c>
      <c r="GO10">
        <f>ROUND(CM10*VLOOKUP($A10,'Present Values'!$A:$F,4)/VLOOKUP($A10,'Present Values'!$A:$F,2),2)</f>
        <v>0</v>
      </c>
      <c r="GP10">
        <f>ROUND(CN10*VLOOKUP($A10,'Present Values'!$A:$F,4)/VLOOKUP($A10,'Present Values'!$A:$F,2),2)</f>
        <v>0</v>
      </c>
      <c r="GQ10">
        <f>ROUND(CO10*VLOOKUP($A10,'Present Values'!$A:$F,4)/VLOOKUP($A10,'Present Values'!$A:$F,2),2)</f>
        <v>0</v>
      </c>
      <c r="GR10">
        <f>ROUND(CP10*VLOOKUP($A10,'Present Values'!$A:$F,4)/VLOOKUP($A10,'Present Values'!$A:$F,2),2)</f>
        <v>0</v>
      </c>
      <c r="GS10">
        <f>ROUND(CQ10*VLOOKUP($A10,'Present Values'!$A:$F,4)/VLOOKUP($A10,'Present Values'!$A:$F,2),2)</f>
        <v>0</v>
      </c>
      <c r="GT10">
        <f>ROUND(CR10*VLOOKUP($A10,'Present Values'!$A:$F,4)/VLOOKUP($A10,'Present Values'!$A:$F,2),2)</f>
        <v>0</v>
      </c>
      <c r="GU10">
        <f>ROUND(CS10*VLOOKUP($A10,'Present Values'!$A:$F,4)/VLOOKUP($A10,'Present Values'!$A:$F,2),2)</f>
        <v>0</v>
      </c>
      <c r="GV10">
        <f>ROUND(CT10*VLOOKUP($A10,'Present Values'!$A:$F,4)/VLOOKUP($A10,'Present Values'!$A:$F,2),2)</f>
        <v>0</v>
      </c>
      <c r="GW10">
        <f>ROUND(CU10*VLOOKUP($A10,'Present Values'!$A:$F,4)/VLOOKUP($A10,'Present Values'!$A:$F,2),2)</f>
        <v>0</v>
      </c>
      <c r="GX10">
        <f>ROUND(CV10*VLOOKUP($A10,'Present Values'!$A:$F,4)/VLOOKUP($A10,'Present Values'!$A:$F,2),2)</f>
        <v>0</v>
      </c>
      <c r="GY10">
        <f>ROUND(CW10*VLOOKUP($A10,'Present Values'!$A:$F,4)/VLOOKUP($A10,'Present Values'!$A:$F,2),2)</f>
        <v>0</v>
      </c>
      <c r="HA10" s="3">
        <f>NPV(Assumptions!$C$9, DD10:GY10)*(1+Assumptions!$C$9)</f>
        <v>159432.12368382493</v>
      </c>
      <c r="HB10" s="12">
        <f>'Present Values'!D10</f>
        <v>159432.12</v>
      </c>
      <c r="HD10" s="3">
        <f>NPV(Assumptions!$C$9+0.01,Payouts!$B10:$CW10)*(1.01+Assumptions!$C$9)</f>
        <v>128403.5548873323</v>
      </c>
      <c r="HE10" s="3">
        <f>NPV(Assumptions!$C$9-0.01,Payouts!$B10:$CW10)*(0.99+Assumptions!$C$9)</f>
        <v>200341.1535200199</v>
      </c>
      <c r="HG10" s="3">
        <f>IF(AND(AMMset!D7&gt;0,'Present Values'!F10&gt;0),NPV(Assumptions!$C$9+0.01,Payouts!$DD10:$GY10)*(1.01+Assumptions!$C$9)/AMMset!D7, 0)</f>
        <v>0</v>
      </c>
      <c r="HH10" s="3">
        <f>IF(AND(AMMset!D7&gt;0,'Present Values'!F10&gt;0),NPV(Assumptions!$C$9-0.01,Payouts!$DD10:$GY10)*(0.99+Assumptions!$C$9)/AMMset!D7, 0)</f>
        <v>0</v>
      </c>
      <c r="HJ10" s="12">
        <v>7754.79</v>
      </c>
      <c r="HK10" s="12">
        <v>10081.49</v>
      </c>
      <c r="HM10" s="12">
        <v>50755.43</v>
      </c>
      <c r="HN10" s="12">
        <v>87584.28</v>
      </c>
    </row>
    <row r="11" spans="1:222" x14ac:dyDescent="0.25">
      <c r="A11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205.34</v>
      </c>
      <c r="N11">
        <v>415.62</v>
      </c>
      <c r="O11">
        <v>695.36</v>
      </c>
      <c r="P11">
        <v>970.29</v>
      </c>
      <c r="Q11">
        <v>1391.12</v>
      </c>
      <c r="R11">
        <v>2067.9</v>
      </c>
      <c r="S11">
        <v>2681.82</v>
      </c>
      <c r="T11">
        <v>3520.77</v>
      </c>
      <c r="U11">
        <v>4501.1899999999996</v>
      </c>
      <c r="V11">
        <v>5737.46</v>
      </c>
      <c r="W11">
        <v>7751.85</v>
      </c>
      <c r="X11">
        <v>10227.01</v>
      </c>
      <c r="Y11">
        <v>13894.17</v>
      </c>
      <c r="Z11">
        <v>17117.12</v>
      </c>
      <c r="AA11">
        <v>8124.28</v>
      </c>
      <c r="AB11">
        <v>9249.9</v>
      </c>
      <c r="AC11">
        <v>10041.6</v>
      </c>
      <c r="AD11">
        <v>10837.02</v>
      </c>
      <c r="AE11">
        <v>11481.53</v>
      </c>
      <c r="AF11">
        <v>12110.06</v>
      </c>
      <c r="AG11">
        <v>12718.71</v>
      </c>
      <c r="AH11">
        <v>13288</v>
      </c>
      <c r="AI11">
        <v>13845.74</v>
      </c>
      <c r="AJ11">
        <v>14375.94</v>
      </c>
      <c r="AK11">
        <v>14893.36</v>
      </c>
      <c r="AL11">
        <v>15458.47</v>
      </c>
      <c r="AM11">
        <v>15910.92</v>
      </c>
      <c r="AN11">
        <v>16328.43</v>
      </c>
      <c r="AO11">
        <v>16698.68</v>
      </c>
      <c r="AP11">
        <v>17007.73</v>
      </c>
      <c r="AQ11">
        <v>17243.55</v>
      </c>
      <c r="AR11">
        <v>17391.32</v>
      </c>
      <c r="AS11">
        <v>17436.5</v>
      </c>
      <c r="AT11">
        <v>17367.939999999999</v>
      </c>
      <c r="AU11">
        <v>17178.71</v>
      </c>
      <c r="AV11">
        <v>16860.509999999998</v>
      </c>
      <c r="AW11">
        <v>16406.080000000002</v>
      </c>
      <c r="AX11">
        <v>15779.73</v>
      </c>
      <c r="AY11">
        <v>14974.36</v>
      </c>
      <c r="AZ11">
        <v>13992.56</v>
      </c>
      <c r="BA11">
        <v>12846.91</v>
      </c>
      <c r="BB11">
        <v>11564.65</v>
      </c>
      <c r="BC11">
        <v>10188.69</v>
      </c>
      <c r="BD11">
        <v>8771.99</v>
      </c>
      <c r="BE11">
        <v>7368.95</v>
      </c>
      <c r="BF11">
        <v>6029.39</v>
      </c>
      <c r="BG11">
        <v>4795.75</v>
      </c>
      <c r="BH11">
        <v>3700.43</v>
      </c>
      <c r="BI11">
        <v>2786.21</v>
      </c>
      <c r="BJ11">
        <v>2027.87</v>
      </c>
      <c r="BK11">
        <v>1443.33</v>
      </c>
      <c r="BL11">
        <v>973.87</v>
      </c>
      <c r="BM11">
        <v>619.37</v>
      </c>
      <c r="BN11">
        <v>355.96</v>
      </c>
      <c r="BO11">
        <v>179.99</v>
      </c>
      <c r="BP11">
        <v>78.75</v>
      </c>
      <c r="BQ11">
        <v>29.51</v>
      </c>
      <c r="BR11">
        <v>9.02</v>
      </c>
      <c r="BS11">
        <v>2.0699999999999998</v>
      </c>
      <c r="BT11">
        <v>0.3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Y11" s="3">
        <f>NPV(Assumptions!$C$9, B11:CW11)*(1+Assumptions!$C$9)</f>
        <v>134620.75581661405</v>
      </c>
      <c r="CZ11" s="12">
        <f>'Present Values'!B11</f>
        <v>134620.75</v>
      </c>
      <c r="DD11">
        <f>ROUND(B11*VLOOKUP($A11,'Present Values'!$A:$F,4)/VLOOKUP($A11,'Present Values'!$A:$F,2),2)</f>
        <v>0</v>
      </c>
      <c r="DE11">
        <f>ROUND(C11*VLOOKUP($A11,'Present Values'!$A:$F,4)/VLOOKUP($A11,'Present Values'!$A:$F,2),2)</f>
        <v>0</v>
      </c>
      <c r="DF11">
        <f>ROUND(D11*VLOOKUP($A11,'Present Values'!$A:$F,4)/VLOOKUP($A11,'Present Values'!$A:$F,2),2)</f>
        <v>0</v>
      </c>
      <c r="DG11">
        <f>ROUND(E11*VLOOKUP($A11,'Present Values'!$A:$F,4)/VLOOKUP($A11,'Present Values'!$A:$F,2),2)</f>
        <v>0</v>
      </c>
      <c r="DH11">
        <f>ROUND(F11*VLOOKUP($A11,'Present Values'!$A:$F,4)/VLOOKUP($A11,'Present Values'!$A:$F,2),2)</f>
        <v>0</v>
      </c>
      <c r="DI11">
        <f>ROUND(G11*VLOOKUP($A11,'Present Values'!$A:$F,4)/VLOOKUP($A11,'Present Values'!$A:$F,2),2)</f>
        <v>0</v>
      </c>
      <c r="DJ11">
        <f>ROUND(H11*VLOOKUP($A11,'Present Values'!$A:$F,4)/VLOOKUP($A11,'Present Values'!$A:$F,2),2)</f>
        <v>0</v>
      </c>
      <c r="DK11">
        <f>ROUND(I11*VLOOKUP($A11,'Present Values'!$A:$F,4)/VLOOKUP($A11,'Present Values'!$A:$F,2),2)</f>
        <v>0</v>
      </c>
      <c r="DL11">
        <f>ROUND(J11*VLOOKUP($A11,'Present Values'!$A:$F,4)/VLOOKUP($A11,'Present Values'!$A:$F,2),2)</f>
        <v>0</v>
      </c>
      <c r="DM11">
        <f>ROUND(K11*VLOOKUP($A11,'Present Values'!$A:$F,4)/VLOOKUP($A11,'Present Values'!$A:$F,2),2)</f>
        <v>0</v>
      </c>
      <c r="DN11">
        <f>ROUND(L11*VLOOKUP($A11,'Present Values'!$A:$F,4)/VLOOKUP($A11,'Present Values'!$A:$F,2),2)</f>
        <v>0</v>
      </c>
      <c r="DO11">
        <f>ROUND(M11*VLOOKUP($A11,'Present Values'!$A:$F,4)/VLOOKUP($A11,'Present Values'!$A:$F,2),2)</f>
        <v>91.26</v>
      </c>
      <c r="DP11">
        <f>ROUND(N11*VLOOKUP($A11,'Present Values'!$A:$F,4)/VLOOKUP($A11,'Present Values'!$A:$F,2),2)</f>
        <v>184.72</v>
      </c>
      <c r="DQ11">
        <f>ROUND(O11*VLOOKUP($A11,'Present Values'!$A:$F,4)/VLOOKUP($A11,'Present Values'!$A:$F,2),2)</f>
        <v>309.05</v>
      </c>
      <c r="DR11">
        <f>ROUND(P11*VLOOKUP($A11,'Present Values'!$A:$F,4)/VLOOKUP($A11,'Present Values'!$A:$F,2),2)</f>
        <v>431.24</v>
      </c>
      <c r="DS11">
        <f>ROUND(Q11*VLOOKUP($A11,'Present Values'!$A:$F,4)/VLOOKUP($A11,'Present Values'!$A:$F,2),2)</f>
        <v>618.28</v>
      </c>
      <c r="DT11">
        <f>ROUND(R11*VLOOKUP($A11,'Present Values'!$A:$F,4)/VLOOKUP($A11,'Present Values'!$A:$F,2),2)</f>
        <v>919.07</v>
      </c>
      <c r="DU11">
        <f>ROUND(S11*VLOOKUP($A11,'Present Values'!$A:$F,4)/VLOOKUP($A11,'Present Values'!$A:$F,2),2)</f>
        <v>1191.92</v>
      </c>
      <c r="DV11">
        <f>ROUND(T11*VLOOKUP($A11,'Present Values'!$A:$F,4)/VLOOKUP($A11,'Present Values'!$A:$F,2),2)</f>
        <v>1564.79</v>
      </c>
      <c r="DW11">
        <f>ROUND(U11*VLOOKUP($A11,'Present Values'!$A:$F,4)/VLOOKUP($A11,'Present Values'!$A:$F,2),2)</f>
        <v>2000.53</v>
      </c>
      <c r="DX11">
        <f>ROUND(V11*VLOOKUP($A11,'Present Values'!$A:$F,4)/VLOOKUP($A11,'Present Values'!$A:$F,2),2)</f>
        <v>2549.98</v>
      </c>
      <c r="DY11">
        <f>ROUND(W11*VLOOKUP($A11,'Present Values'!$A:$F,4)/VLOOKUP($A11,'Present Values'!$A:$F,2),2)</f>
        <v>3445.27</v>
      </c>
      <c r="DZ11">
        <f>ROUND(X11*VLOOKUP($A11,'Present Values'!$A:$F,4)/VLOOKUP($A11,'Present Values'!$A:$F,2),2)</f>
        <v>4545.34</v>
      </c>
      <c r="EA11">
        <f>ROUND(Y11*VLOOKUP($A11,'Present Values'!$A:$F,4)/VLOOKUP($A11,'Present Values'!$A:$F,2),2)</f>
        <v>6175.19</v>
      </c>
      <c r="EB11">
        <f>ROUND(Z11*VLOOKUP($A11,'Present Values'!$A:$F,4)/VLOOKUP($A11,'Present Values'!$A:$F,2),2)</f>
        <v>7607.61</v>
      </c>
      <c r="EC11">
        <f>ROUND(AA11*VLOOKUP($A11,'Present Values'!$A:$F,4)/VLOOKUP($A11,'Present Values'!$A:$F,2),2)</f>
        <v>3610.79</v>
      </c>
      <c r="ED11">
        <f>ROUND(AB11*VLOOKUP($A11,'Present Values'!$A:$F,4)/VLOOKUP($A11,'Present Values'!$A:$F,2),2)</f>
        <v>4111.07</v>
      </c>
      <c r="EE11">
        <f>ROUND(AC11*VLOOKUP($A11,'Present Values'!$A:$F,4)/VLOOKUP($A11,'Present Values'!$A:$F,2),2)</f>
        <v>4462.93</v>
      </c>
      <c r="EF11">
        <f>ROUND(AD11*VLOOKUP($A11,'Present Values'!$A:$F,4)/VLOOKUP($A11,'Present Values'!$A:$F,2),2)</f>
        <v>4816.45</v>
      </c>
      <c r="EG11">
        <f>ROUND(AE11*VLOOKUP($A11,'Present Values'!$A:$F,4)/VLOOKUP($A11,'Present Values'!$A:$F,2),2)</f>
        <v>5102.8999999999996</v>
      </c>
      <c r="EH11">
        <f>ROUND(AF11*VLOOKUP($A11,'Present Values'!$A:$F,4)/VLOOKUP($A11,'Present Values'!$A:$F,2),2)</f>
        <v>5382.25</v>
      </c>
      <c r="EI11">
        <f>ROUND(AG11*VLOOKUP($A11,'Present Values'!$A:$F,4)/VLOOKUP($A11,'Present Values'!$A:$F,2),2)</f>
        <v>5652.76</v>
      </c>
      <c r="EJ11">
        <f>ROUND(AH11*VLOOKUP($A11,'Present Values'!$A:$F,4)/VLOOKUP($A11,'Present Values'!$A:$F,2),2)</f>
        <v>5905.78</v>
      </c>
      <c r="EK11">
        <f>ROUND(AI11*VLOOKUP($A11,'Present Values'!$A:$F,4)/VLOOKUP($A11,'Present Values'!$A:$F,2),2)</f>
        <v>6153.66</v>
      </c>
      <c r="EL11">
        <f>ROUND(AJ11*VLOOKUP($A11,'Present Values'!$A:$F,4)/VLOOKUP($A11,'Present Values'!$A:$F,2),2)</f>
        <v>6389.31</v>
      </c>
      <c r="EM11">
        <f>ROUND(AK11*VLOOKUP($A11,'Present Values'!$A:$F,4)/VLOOKUP($A11,'Present Values'!$A:$F,2),2)</f>
        <v>6619.27</v>
      </c>
      <c r="EN11">
        <f>ROUND(AL11*VLOOKUP($A11,'Present Values'!$A:$F,4)/VLOOKUP($A11,'Present Values'!$A:$F,2),2)</f>
        <v>6870.43</v>
      </c>
      <c r="EO11">
        <f>ROUND(AM11*VLOOKUP($A11,'Present Values'!$A:$F,4)/VLOOKUP($A11,'Present Values'!$A:$F,2),2)</f>
        <v>7071.52</v>
      </c>
      <c r="EP11">
        <f>ROUND(AN11*VLOOKUP($A11,'Present Values'!$A:$F,4)/VLOOKUP($A11,'Present Values'!$A:$F,2),2)</f>
        <v>7257.08</v>
      </c>
      <c r="EQ11">
        <f>ROUND(AO11*VLOOKUP($A11,'Present Values'!$A:$F,4)/VLOOKUP($A11,'Present Values'!$A:$F,2),2)</f>
        <v>7421.64</v>
      </c>
      <c r="ER11">
        <f>ROUND(AP11*VLOOKUP($A11,'Present Values'!$A:$F,4)/VLOOKUP($A11,'Present Values'!$A:$F,2),2)</f>
        <v>7558.99</v>
      </c>
      <c r="ES11">
        <f>ROUND(AQ11*VLOOKUP($A11,'Present Values'!$A:$F,4)/VLOOKUP($A11,'Present Values'!$A:$F,2),2)</f>
        <v>7663.8</v>
      </c>
      <c r="ET11">
        <f>ROUND(AR11*VLOOKUP($A11,'Present Values'!$A:$F,4)/VLOOKUP($A11,'Present Values'!$A:$F,2),2)</f>
        <v>7729.47</v>
      </c>
      <c r="EU11">
        <f>ROUND(AS11*VLOOKUP($A11,'Present Values'!$A:$F,4)/VLOOKUP($A11,'Present Values'!$A:$F,2),2)</f>
        <v>7749.55</v>
      </c>
      <c r="EV11">
        <f>ROUND(AT11*VLOOKUP($A11,'Present Values'!$A:$F,4)/VLOOKUP($A11,'Present Values'!$A:$F,2),2)</f>
        <v>7719.08</v>
      </c>
      <c r="EW11">
        <f>ROUND(AU11*VLOOKUP($A11,'Present Values'!$A:$F,4)/VLOOKUP($A11,'Present Values'!$A:$F,2),2)</f>
        <v>7634.98</v>
      </c>
      <c r="EX11">
        <f>ROUND(AV11*VLOOKUP($A11,'Present Values'!$A:$F,4)/VLOOKUP($A11,'Present Values'!$A:$F,2),2)</f>
        <v>7493.56</v>
      </c>
      <c r="EY11">
        <f>ROUND(AW11*VLOOKUP($A11,'Present Values'!$A:$F,4)/VLOOKUP($A11,'Present Values'!$A:$F,2),2)</f>
        <v>7291.59</v>
      </c>
      <c r="EZ11">
        <f>ROUND(AX11*VLOOKUP($A11,'Present Values'!$A:$F,4)/VLOOKUP($A11,'Present Values'!$A:$F,2),2)</f>
        <v>7013.21</v>
      </c>
      <c r="FA11">
        <f>ROUND(AY11*VLOOKUP($A11,'Present Values'!$A:$F,4)/VLOOKUP($A11,'Present Values'!$A:$F,2),2)</f>
        <v>6655.27</v>
      </c>
      <c r="FB11">
        <f>ROUND(AZ11*VLOOKUP($A11,'Present Values'!$A:$F,4)/VLOOKUP($A11,'Present Values'!$A:$F,2),2)</f>
        <v>6218.92</v>
      </c>
      <c r="FC11">
        <f>ROUND(BA11*VLOOKUP($A11,'Present Values'!$A:$F,4)/VLOOKUP($A11,'Present Values'!$A:$F,2),2)</f>
        <v>5709.74</v>
      </c>
      <c r="FD11">
        <f>ROUND(BB11*VLOOKUP($A11,'Present Values'!$A:$F,4)/VLOOKUP($A11,'Present Values'!$A:$F,2),2)</f>
        <v>5139.84</v>
      </c>
      <c r="FE11">
        <f>ROUND(BC11*VLOOKUP($A11,'Present Values'!$A:$F,4)/VLOOKUP($A11,'Present Values'!$A:$F,2),2)</f>
        <v>4528.3100000000004</v>
      </c>
      <c r="FF11">
        <f>ROUND(BD11*VLOOKUP($A11,'Present Values'!$A:$F,4)/VLOOKUP($A11,'Present Values'!$A:$F,2),2)</f>
        <v>3898.66</v>
      </c>
      <c r="FG11">
        <f>ROUND(BE11*VLOOKUP($A11,'Present Values'!$A:$F,4)/VLOOKUP($A11,'Present Values'!$A:$F,2),2)</f>
        <v>3275.09</v>
      </c>
      <c r="FH11">
        <f>ROUND(BF11*VLOOKUP($A11,'Present Values'!$A:$F,4)/VLOOKUP($A11,'Present Values'!$A:$F,2),2)</f>
        <v>2679.73</v>
      </c>
      <c r="FI11">
        <f>ROUND(BG11*VLOOKUP($A11,'Present Values'!$A:$F,4)/VLOOKUP($A11,'Present Values'!$A:$F,2),2)</f>
        <v>2131.44</v>
      </c>
      <c r="FJ11">
        <f>ROUND(BH11*VLOOKUP($A11,'Present Values'!$A:$F,4)/VLOOKUP($A11,'Present Values'!$A:$F,2),2)</f>
        <v>1644.64</v>
      </c>
      <c r="FK11">
        <f>ROUND(BI11*VLOOKUP($A11,'Present Values'!$A:$F,4)/VLOOKUP($A11,'Present Values'!$A:$F,2),2)</f>
        <v>1238.32</v>
      </c>
      <c r="FL11">
        <f>ROUND(BJ11*VLOOKUP($A11,'Present Values'!$A:$F,4)/VLOOKUP($A11,'Present Values'!$A:$F,2),2)</f>
        <v>901.28</v>
      </c>
      <c r="FM11">
        <f>ROUND(BK11*VLOOKUP($A11,'Present Values'!$A:$F,4)/VLOOKUP($A11,'Present Values'!$A:$F,2),2)</f>
        <v>641.48</v>
      </c>
      <c r="FN11">
        <f>ROUND(BL11*VLOOKUP($A11,'Present Values'!$A:$F,4)/VLOOKUP($A11,'Present Values'!$A:$F,2),2)</f>
        <v>432.83</v>
      </c>
      <c r="FO11">
        <f>ROUND(BM11*VLOOKUP($A11,'Present Values'!$A:$F,4)/VLOOKUP($A11,'Present Values'!$A:$F,2),2)</f>
        <v>275.27999999999997</v>
      </c>
      <c r="FP11">
        <f>ROUND(BN11*VLOOKUP($A11,'Present Values'!$A:$F,4)/VLOOKUP($A11,'Present Values'!$A:$F,2),2)</f>
        <v>158.19999999999999</v>
      </c>
      <c r="FQ11">
        <f>ROUND(BO11*VLOOKUP($A11,'Present Values'!$A:$F,4)/VLOOKUP($A11,'Present Values'!$A:$F,2),2)</f>
        <v>80</v>
      </c>
      <c r="FR11">
        <f>ROUND(BP11*VLOOKUP($A11,'Present Values'!$A:$F,4)/VLOOKUP($A11,'Present Values'!$A:$F,2),2)</f>
        <v>35</v>
      </c>
      <c r="FS11">
        <f>ROUND(BQ11*VLOOKUP($A11,'Present Values'!$A:$F,4)/VLOOKUP($A11,'Present Values'!$A:$F,2),2)</f>
        <v>13.12</v>
      </c>
      <c r="FT11">
        <f>ROUND(BR11*VLOOKUP($A11,'Present Values'!$A:$F,4)/VLOOKUP($A11,'Present Values'!$A:$F,2),2)</f>
        <v>4.01</v>
      </c>
      <c r="FU11">
        <f>ROUND(BS11*VLOOKUP($A11,'Present Values'!$A:$F,4)/VLOOKUP($A11,'Present Values'!$A:$F,2),2)</f>
        <v>0.92</v>
      </c>
      <c r="FV11">
        <f>ROUND(BT11*VLOOKUP($A11,'Present Values'!$A:$F,4)/VLOOKUP($A11,'Present Values'!$A:$F,2),2)</f>
        <v>0.13</v>
      </c>
      <c r="FW11">
        <f>ROUND(BU11*VLOOKUP($A11,'Present Values'!$A:$F,4)/VLOOKUP($A11,'Present Values'!$A:$F,2),2)</f>
        <v>0</v>
      </c>
      <c r="FX11">
        <f>ROUND(BV11*VLOOKUP($A11,'Present Values'!$A:$F,4)/VLOOKUP($A11,'Present Values'!$A:$F,2),2)</f>
        <v>0</v>
      </c>
      <c r="FY11">
        <f>ROUND(BW11*VLOOKUP($A11,'Present Values'!$A:$F,4)/VLOOKUP($A11,'Present Values'!$A:$F,2),2)</f>
        <v>0</v>
      </c>
      <c r="FZ11">
        <f>ROUND(BX11*VLOOKUP($A11,'Present Values'!$A:$F,4)/VLOOKUP($A11,'Present Values'!$A:$F,2),2)</f>
        <v>0</v>
      </c>
      <c r="GA11">
        <f>ROUND(BY11*VLOOKUP($A11,'Present Values'!$A:$F,4)/VLOOKUP($A11,'Present Values'!$A:$F,2),2)</f>
        <v>0</v>
      </c>
      <c r="GB11">
        <f>ROUND(BZ11*VLOOKUP($A11,'Present Values'!$A:$F,4)/VLOOKUP($A11,'Present Values'!$A:$F,2),2)</f>
        <v>0</v>
      </c>
      <c r="GC11">
        <f>ROUND(CA11*VLOOKUP($A11,'Present Values'!$A:$F,4)/VLOOKUP($A11,'Present Values'!$A:$F,2),2)</f>
        <v>0</v>
      </c>
      <c r="GD11">
        <f>ROUND(CB11*VLOOKUP($A11,'Present Values'!$A:$F,4)/VLOOKUP($A11,'Present Values'!$A:$F,2),2)</f>
        <v>0</v>
      </c>
      <c r="GE11">
        <f>ROUND(CC11*VLOOKUP($A11,'Present Values'!$A:$F,4)/VLOOKUP($A11,'Present Values'!$A:$F,2),2)</f>
        <v>0</v>
      </c>
      <c r="GF11">
        <f>ROUND(CD11*VLOOKUP($A11,'Present Values'!$A:$F,4)/VLOOKUP($A11,'Present Values'!$A:$F,2),2)</f>
        <v>0</v>
      </c>
      <c r="GG11">
        <f>ROUND(CE11*VLOOKUP($A11,'Present Values'!$A:$F,4)/VLOOKUP($A11,'Present Values'!$A:$F,2),2)</f>
        <v>0</v>
      </c>
      <c r="GH11">
        <f>ROUND(CF11*VLOOKUP($A11,'Present Values'!$A:$F,4)/VLOOKUP($A11,'Present Values'!$A:$F,2),2)</f>
        <v>0</v>
      </c>
      <c r="GI11">
        <f>ROUND(CG11*VLOOKUP($A11,'Present Values'!$A:$F,4)/VLOOKUP($A11,'Present Values'!$A:$F,2),2)</f>
        <v>0</v>
      </c>
      <c r="GJ11">
        <f>ROUND(CH11*VLOOKUP($A11,'Present Values'!$A:$F,4)/VLOOKUP($A11,'Present Values'!$A:$F,2),2)</f>
        <v>0</v>
      </c>
      <c r="GK11">
        <f>ROUND(CI11*VLOOKUP($A11,'Present Values'!$A:$F,4)/VLOOKUP($A11,'Present Values'!$A:$F,2),2)</f>
        <v>0</v>
      </c>
      <c r="GL11">
        <f>ROUND(CJ11*VLOOKUP($A11,'Present Values'!$A:$F,4)/VLOOKUP($A11,'Present Values'!$A:$F,2),2)</f>
        <v>0</v>
      </c>
      <c r="GM11">
        <f>ROUND(CK11*VLOOKUP($A11,'Present Values'!$A:$F,4)/VLOOKUP($A11,'Present Values'!$A:$F,2),2)</f>
        <v>0</v>
      </c>
      <c r="GN11">
        <f>ROUND(CL11*VLOOKUP($A11,'Present Values'!$A:$F,4)/VLOOKUP($A11,'Present Values'!$A:$F,2),2)</f>
        <v>0</v>
      </c>
      <c r="GO11">
        <f>ROUND(CM11*VLOOKUP($A11,'Present Values'!$A:$F,4)/VLOOKUP($A11,'Present Values'!$A:$F,2),2)</f>
        <v>0</v>
      </c>
      <c r="GP11">
        <f>ROUND(CN11*VLOOKUP($A11,'Present Values'!$A:$F,4)/VLOOKUP($A11,'Present Values'!$A:$F,2),2)</f>
        <v>0</v>
      </c>
      <c r="GQ11">
        <f>ROUND(CO11*VLOOKUP($A11,'Present Values'!$A:$F,4)/VLOOKUP($A11,'Present Values'!$A:$F,2),2)</f>
        <v>0</v>
      </c>
      <c r="GR11">
        <f>ROUND(CP11*VLOOKUP($A11,'Present Values'!$A:$F,4)/VLOOKUP($A11,'Present Values'!$A:$F,2),2)</f>
        <v>0</v>
      </c>
      <c r="GS11">
        <f>ROUND(CQ11*VLOOKUP($A11,'Present Values'!$A:$F,4)/VLOOKUP($A11,'Present Values'!$A:$F,2),2)</f>
        <v>0</v>
      </c>
      <c r="GT11">
        <f>ROUND(CR11*VLOOKUP($A11,'Present Values'!$A:$F,4)/VLOOKUP($A11,'Present Values'!$A:$F,2),2)</f>
        <v>0</v>
      </c>
      <c r="GU11">
        <f>ROUND(CS11*VLOOKUP($A11,'Present Values'!$A:$F,4)/VLOOKUP($A11,'Present Values'!$A:$F,2),2)</f>
        <v>0</v>
      </c>
      <c r="GV11">
        <f>ROUND(CT11*VLOOKUP($A11,'Present Values'!$A:$F,4)/VLOOKUP($A11,'Present Values'!$A:$F,2),2)</f>
        <v>0</v>
      </c>
      <c r="GW11">
        <f>ROUND(CU11*VLOOKUP($A11,'Present Values'!$A:$F,4)/VLOOKUP($A11,'Present Values'!$A:$F,2),2)</f>
        <v>0</v>
      </c>
      <c r="GX11">
        <f>ROUND(CV11*VLOOKUP($A11,'Present Values'!$A:$F,4)/VLOOKUP($A11,'Present Values'!$A:$F,2),2)</f>
        <v>0</v>
      </c>
      <c r="GY11">
        <f>ROUND(CW11*VLOOKUP($A11,'Present Values'!$A:$F,4)/VLOOKUP($A11,'Present Values'!$A:$F,2),2)</f>
        <v>0</v>
      </c>
      <c r="HA11" s="3">
        <f>NPV(Assumptions!$C$9, DD11:GY11)*(1+Assumptions!$C$9)</f>
        <v>59831.453184697086</v>
      </c>
      <c r="HB11" s="12">
        <f>'Present Values'!D11</f>
        <v>59831.44</v>
      </c>
      <c r="HD11" s="3">
        <f>NPV(Assumptions!$C$9+0.01,Payouts!$B11:$CW11)*(1.01+Assumptions!$C$9)</f>
        <v>97490.791357390219</v>
      </c>
      <c r="HE11" s="3">
        <f>NPV(Assumptions!$C$9-0.01,Payouts!$B11:$CW11)*(0.99+Assumptions!$C$9)</f>
        <v>188444.48652307517</v>
      </c>
      <c r="HG11" s="3">
        <f>IF(AND(AMMset!D8&gt;0,'Present Values'!F11&gt;0),NPV(Assumptions!$C$9+0.01,Payouts!$DD11:$GY11)*(1.01+Assumptions!$C$9)/AMMset!D8, 0)</f>
        <v>5416.155739063528</v>
      </c>
      <c r="HH11" s="3">
        <f>IF(AND(AMMset!D8&gt;0,'Present Values'!F11&gt;0),NPV(Assumptions!$C$9-0.01,Payouts!$DD11:$GY11)*(0.99+Assumptions!$C$9)/AMMset!D8, 0)</f>
        <v>10469.139044656276</v>
      </c>
      <c r="HJ11" s="12">
        <v>5282.42</v>
      </c>
      <c r="HK11" s="12">
        <v>8252.68</v>
      </c>
      <c r="HM11" s="12">
        <v>24899.68</v>
      </c>
      <c r="HN11" s="12">
        <v>51474.32</v>
      </c>
    </row>
    <row r="12" spans="1:222" x14ac:dyDescent="0.25">
      <c r="A12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169.6</v>
      </c>
      <c r="U12">
        <v>343.28</v>
      </c>
      <c r="V12">
        <v>574.33000000000004</v>
      </c>
      <c r="W12">
        <v>801.42</v>
      </c>
      <c r="X12">
        <v>1160.42</v>
      </c>
      <c r="Y12">
        <v>1731.13</v>
      </c>
      <c r="Z12">
        <v>2238.44</v>
      </c>
      <c r="AA12">
        <v>2943.22</v>
      </c>
      <c r="AB12">
        <v>3764.52</v>
      </c>
      <c r="AC12">
        <v>4796.1499999999996</v>
      </c>
      <c r="AD12">
        <v>6501.25</v>
      </c>
      <c r="AE12">
        <v>8564.91</v>
      </c>
      <c r="AF12">
        <v>11629.04</v>
      </c>
      <c r="AG12">
        <v>14304.83</v>
      </c>
      <c r="AH12">
        <v>6771.54</v>
      </c>
      <c r="AI12">
        <v>7686.41</v>
      </c>
      <c r="AJ12">
        <v>8331.48</v>
      </c>
      <c r="AK12">
        <v>8978.33</v>
      </c>
      <c r="AL12">
        <v>9504.25</v>
      </c>
      <c r="AM12">
        <v>10017.299999999999</v>
      </c>
      <c r="AN12">
        <v>10514.69</v>
      </c>
      <c r="AO12">
        <v>10981.69</v>
      </c>
      <c r="AP12">
        <v>11439.57</v>
      </c>
      <c r="AQ12">
        <v>11875.89</v>
      </c>
      <c r="AR12">
        <v>12301.73</v>
      </c>
      <c r="AS12">
        <v>12763.48</v>
      </c>
      <c r="AT12">
        <v>13137.05</v>
      </c>
      <c r="AU12">
        <v>13481.78</v>
      </c>
      <c r="AV12">
        <v>13787.47</v>
      </c>
      <c r="AW12">
        <v>14042.65</v>
      </c>
      <c r="AX12">
        <v>14237.35</v>
      </c>
      <c r="AY12">
        <v>14359.36</v>
      </c>
      <c r="AZ12">
        <v>14396.67</v>
      </c>
      <c r="BA12">
        <v>14340.06</v>
      </c>
      <c r="BB12">
        <v>14183.82</v>
      </c>
      <c r="BC12">
        <v>13921.09</v>
      </c>
      <c r="BD12">
        <v>13545.88</v>
      </c>
      <c r="BE12">
        <v>13028.73</v>
      </c>
      <c r="BF12">
        <v>12363.77</v>
      </c>
      <c r="BG12">
        <v>11553.14</v>
      </c>
      <c r="BH12">
        <v>10607.22</v>
      </c>
      <c r="BI12">
        <v>9548.5</v>
      </c>
      <c r="BJ12">
        <v>8412.42</v>
      </c>
      <c r="BK12">
        <v>7242.71</v>
      </c>
      <c r="BL12">
        <v>6084.27</v>
      </c>
      <c r="BM12">
        <v>4978.24</v>
      </c>
      <c r="BN12">
        <v>3959.68</v>
      </c>
      <c r="BO12">
        <v>3055.31</v>
      </c>
      <c r="BP12">
        <v>2300.4699999999998</v>
      </c>
      <c r="BQ12">
        <v>1674.34</v>
      </c>
      <c r="BR12">
        <v>1191.7</v>
      </c>
      <c r="BS12">
        <v>804.08</v>
      </c>
      <c r="BT12">
        <v>511.39</v>
      </c>
      <c r="BU12">
        <v>293.89999999999998</v>
      </c>
      <c r="BV12">
        <v>148.61000000000001</v>
      </c>
      <c r="BW12">
        <v>65.02</v>
      </c>
      <c r="BX12">
        <v>24.37</v>
      </c>
      <c r="BY12">
        <v>7.44</v>
      </c>
      <c r="BZ12">
        <v>1.71</v>
      </c>
      <c r="CA12">
        <v>0.25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Y12" s="3">
        <f>NPV(Assumptions!$C$9, B12:CW12)*(1+Assumptions!$C$9)</f>
        <v>85947.129140644989</v>
      </c>
      <c r="CZ12" s="12">
        <f>'Present Values'!B12</f>
        <v>85947.13</v>
      </c>
      <c r="DD12">
        <f>ROUND(B12*VLOOKUP($A12,'Present Values'!$A:$F,4)/VLOOKUP($A12,'Present Values'!$A:$F,2),2)</f>
        <v>0</v>
      </c>
      <c r="DE12">
        <f>ROUND(C12*VLOOKUP($A12,'Present Values'!$A:$F,4)/VLOOKUP($A12,'Present Values'!$A:$F,2),2)</f>
        <v>0</v>
      </c>
      <c r="DF12">
        <f>ROUND(D12*VLOOKUP($A12,'Present Values'!$A:$F,4)/VLOOKUP($A12,'Present Values'!$A:$F,2),2)</f>
        <v>0</v>
      </c>
      <c r="DG12">
        <f>ROUND(E12*VLOOKUP($A12,'Present Values'!$A:$F,4)/VLOOKUP($A12,'Present Values'!$A:$F,2),2)</f>
        <v>0</v>
      </c>
      <c r="DH12">
        <f>ROUND(F12*VLOOKUP($A12,'Present Values'!$A:$F,4)/VLOOKUP($A12,'Present Values'!$A:$F,2),2)</f>
        <v>0</v>
      </c>
      <c r="DI12">
        <f>ROUND(G12*VLOOKUP($A12,'Present Values'!$A:$F,4)/VLOOKUP($A12,'Present Values'!$A:$F,2),2)</f>
        <v>0</v>
      </c>
      <c r="DJ12">
        <f>ROUND(H12*VLOOKUP($A12,'Present Values'!$A:$F,4)/VLOOKUP($A12,'Present Values'!$A:$F,2),2)</f>
        <v>0</v>
      </c>
      <c r="DK12">
        <f>ROUND(I12*VLOOKUP($A12,'Present Values'!$A:$F,4)/VLOOKUP($A12,'Present Values'!$A:$F,2),2)</f>
        <v>0</v>
      </c>
      <c r="DL12">
        <f>ROUND(J12*VLOOKUP($A12,'Present Values'!$A:$F,4)/VLOOKUP($A12,'Present Values'!$A:$F,2),2)</f>
        <v>0</v>
      </c>
      <c r="DM12">
        <f>ROUND(K12*VLOOKUP($A12,'Present Values'!$A:$F,4)/VLOOKUP($A12,'Present Values'!$A:$F,2),2)</f>
        <v>0</v>
      </c>
      <c r="DN12">
        <f>ROUND(L12*VLOOKUP($A12,'Present Values'!$A:$F,4)/VLOOKUP($A12,'Present Values'!$A:$F,2),2)</f>
        <v>0</v>
      </c>
      <c r="DO12">
        <f>ROUND(M12*VLOOKUP($A12,'Present Values'!$A:$F,4)/VLOOKUP($A12,'Present Values'!$A:$F,2),2)</f>
        <v>0</v>
      </c>
      <c r="DP12">
        <f>ROUND(N12*VLOOKUP($A12,'Present Values'!$A:$F,4)/VLOOKUP($A12,'Present Values'!$A:$F,2),2)</f>
        <v>0</v>
      </c>
      <c r="DQ12">
        <f>ROUND(O12*VLOOKUP($A12,'Present Values'!$A:$F,4)/VLOOKUP($A12,'Present Values'!$A:$F,2),2)</f>
        <v>0</v>
      </c>
      <c r="DR12">
        <f>ROUND(P12*VLOOKUP($A12,'Present Values'!$A:$F,4)/VLOOKUP($A12,'Present Values'!$A:$F,2),2)</f>
        <v>0</v>
      </c>
      <c r="DS12">
        <f>ROUND(Q12*VLOOKUP($A12,'Present Values'!$A:$F,4)/VLOOKUP($A12,'Present Values'!$A:$F,2),2)</f>
        <v>0</v>
      </c>
      <c r="DT12">
        <f>ROUND(R12*VLOOKUP($A12,'Present Values'!$A:$F,4)/VLOOKUP($A12,'Present Values'!$A:$F,2),2)</f>
        <v>0</v>
      </c>
      <c r="DU12">
        <f>ROUND(S12*VLOOKUP($A12,'Present Values'!$A:$F,4)/VLOOKUP($A12,'Present Values'!$A:$F,2),2)</f>
        <v>0</v>
      </c>
      <c r="DV12">
        <f>ROUND(T12*VLOOKUP($A12,'Present Values'!$A:$F,4)/VLOOKUP($A12,'Present Values'!$A:$F,2),2)</f>
        <v>17.850000000000001</v>
      </c>
      <c r="DW12">
        <f>ROUND(U12*VLOOKUP($A12,'Present Values'!$A:$F,4)/VLOOKUP($A12,'Present Values'!$A:$F,2),2)</f>
        <v>36.130000000000003</v>
      </c>
      <c r="DX12">
        <f>ROUND(V12*VLOOKUP($A12,'Present Values'!$A:$F,4)/VLOOKUP($A12,'Present Values'!$A:$F,2),2)</f>
        <v>60.46</v>
      </c>
      <c r="DY12">
        <f>ROUND(W12*VLOOKUP($A12,'Present Values'!$A:$F,4)/VLOOKUP($A12,'Present Values'!$A:$F,2),2)</f>
        <v>84.36</v>
      </c>
      <c r="DZ12">
        <f>ROUND(X12*VLOOKUP($A12,'Present Values'!$A:$F,4)/VLOOKUP($A12,'Present Values'!$A:$F,2),2)</f>
        <v>122.15</v>
      </c>
      <c r="EA12">
        <f>ROUND(Y12*VLOOKUP($A12,'Present Values'!$A:$F,4)/VLOOKUP($A12,'Present Values'!$A:$F,2),2)</f>
        <v>182.22</v>
      </c>
      <c r="EB12">
        <f>ROUND(Z12*VLOOKUP($A12,'Present Values'!$A:$F,4)/VLOOKUP($A12,'Present Values'!$A:$F,2),2)</f>
        <v>235.63</v>
      </c>
      <c r="EC12">
        <f>ROUND(AA12*VLOOKUP($A12,'Present Values'!$A:$F,4)/VLOOKUP($A12,'Present Values'!$A:$F,2),2)</f>
        <v>309.81</v>
      </c>
      <c r="ED12">
        <f>ROUND(AB12*VLOOKUP($A12,'Present Values'!$A:$F,4)/VLOOKUP($A12,'Present Values'!$A:$F,2),2)</f>
        <v>396.26</v>
      </c>
      <c r="EE12">
        <f>ROUND(AC12*VLOOKUP($A12,'Present Values'!$A:$F,4)/VLOOKUP($A12,'Present Values'!$A:$F,2),2)</f>
        <v>504.86</v>
      </c>
      <c r="EF12">
        <f>ROUND(AD12*VLOOKUP($A12,'Present Values'!$A:$F,4)/VLOOKUP($A12,'Present Values'!$A:$F,2),2)</f>
        <v>684.34</v>
      </c>
      <c r="EG12">
        <f>ROUND(AE12*VLOOKUP($A12,'Present Values'!$A:$F,4)/VLOOKUP($A12,'Present Values'!$A:$F,2),2)</f>
        <v>901.57</v>
      </c>
      <c r="EH12">
        <f>ROUND(AF12*VLOOKUP($A12,'Present Values'!$A:$F,4)/VLOOKUP($A12,'Present Values'!$A:$F,2),2)</f>
        <v>1224.1099999999999</v>
      </c>
      <c r="EI12">
        <f>ROUND(AG12*VLOOKUP($A12,'Present Values'!$A:$F,4)/VLOOKUP($A12,'Present Values'!$A:$F,2),2)</f>
        <v>1505.77</v>
      </c>
      <c r="EJ12">
        <f>ROUND(AH12*VLOOKUP($A12,'Present Values'!$A:$F,4)/VLOOKUP($A12,'Present Values'!$A:$F,2),2)</f>
        <v>712.79</v>
      </c>
      <c r="EK12">
        <f>ROUND(AI12*VLOOKUP($A12,'Present Values'!$A:$F,4)/VLOOKUP($A12,'Present Values'!$A:$F,2),2)</f>
        <v>809.1</v>
      </c>
      <c r="EL12">
        <f>ROUND(AJ12*VLOOKUP($A12,'Present Values'!$A:$F,4)/VLOOKUP($A12,'Present Values'!$A:$F,2),2)</f>
        <v>877</v>
      </c>
      <c r="EM12">
        <f>ROUND(AK12*VLOOKUP($A12,'Present Values'!$A:$F,4)/VLOOKUP($A12,'Present Values'!$A:$F,2),2)</f>
        <v>945.09</v>
      </c>
      <c r="EN12">
        <f>ROUND(AL12*VLOOKUP($A12,'Present Values'!$A:$F,4)/VLOOKUP($A12,'Present Values'!$A:$F,2),2)</f>
        <v>1000.45</v>
      </c>
      <c r="EO12">
        <f>ROUND(AM12*VLOOKUP($A12,'Present Values'!$A:$F,4)/VLOOKUP($A12,'Present Values'!$A:$F,2),2)</f>
        <v>1054.45</v>
      </c>
      <c r="EP12">
        <f>ROUND(AN12*VLOOKUP($A12,'Present Values'!$A:$F,4)/VLOOKUP($A12,'Present Values'!$A:$F,2),2)</f>
        <v>1106.81</v>
      </c>
      <c r="EQ12">
        <f>ROUND(AO12*VLOOKUP($A12,'Present Values'!$A:$F,4)/VLOOKUP($A12,'Present Values'!$A:$F,2),2)</f>
        <v>1155.97</v>
      </c>
      <c r="ER12">
        <f>ROUND(AP12*VLOOKUP($A12,'Present Values'!$A:$F,4)/VLOOKUP($A12,'Present Values'!$A:$F,2),2)</f>
        <v>1204.1600000000001</v>
      </c>
      <c r="ES12">
        <f>ROUND(AQ12*VLOOKUP($A12,'Present Values'!$A:$F,4)/VLOOKUP($A12,'Present Values'!$A:$F,2),2)</f>
        <v>1250.0899999999999</v>
      </c>
      <c r="ET12">
        <f>ROUND(AR12*VLOOKUP($A12,'Present Values'!$A:$F,4)/VLOOKUP($A12,'Present Values'!$A:$F,2),2)</f>
        <v>1294.92</v>
      </c>
      <c r="EU12">
        <f>ROUND(AS12*VLOOKUP($A12,'Present Values'!$A:$F,4)/VLOOKUP($A12,'Present Values'!$A:$F,2),2)</f>
        <v>1343.52</v>
      </c>
      <c r="EV12">
        <f>ROUND(AT12*VLOOKUP($A12,'Present Values'!$A:$F,4)/VLOOKUP($A12,'Present Values'!$A:$F,2),2)</f>
        <v>1382.85</v>
      </c>
      <c r="EW12">
        <f>ROUND(AU12*VLOOKUP($A12,'Present Values'!$A:$F,4)/VLOOKUP($A12,'Present Values'!$A:$F,2),2)</f>
        <v>1419.13</v>
      </c>
      <c r="EX12">
        <f>ROUND(AV12*VLOOKUP($A12,'Present Values'!$A:$F,4)/VLOOKUP($A12,'Present Values'!$A:$F,2),2)</f>
        <v>1451.31</v>
      </c>
      <c r="EY12">
        <f>ROUND(AW12*VLOOKUP($A12,'Present Values'!$A:$F,4)/VLOOKUP($A12,'Present Values'!$A:$F,2),2)</f>
        <v>1478.17</v>
      </c>
      <c r="EZ12">
        <f>ROUND(AX12*VLOOKUP($A12,'Present Values'!$A:$F,4)/VLOOKUP($A12,'Present Values'!$A:$F,2),2)</f>
        <v>1498.67</v>
      </c>
      <c r="FA12">
        <f>ROUND(AY12*VLOOKUP($A12,'Present Values'!$A:$F,4)/VLOOKUP($A12,'Present Values'!$A:$F,2),2)</f>
        <v>1511.51</v>
      </c>
      <c r="FB12">
        <f>ROUND(AZ12*VLOOKUP($A12,'Present Values'!$A:$F,4)/VLOOKUP($A12,'Present Values'!$A:$F,2),2)</f>
        <v>1515.44</v>
      </c>
      <c r="FC12">
        <f>ROUND(BA12*VLOOKUP($A12,'Present Values'!$A:$F,4)/VLOOKUP($A12,'Present Values'!$A:$F,2),2)</f>
        <v>1509.48</v>
      </c>
      <c r="FD12">
        <f>ROUND(BB12*VLOOKUP($A12,'Present Values'!$A:$F,4)/VLOOKUP($A12,'Present Values'!$A:$F,2),2)</f>
        <v>1493.03</v>
      </c>
      <c r="FE12">
        <f>ROUND(BC12*VLOOKUP($A12,'Present Values'!$A:$F,4)/VLOOKUP($A12,'Present Values'!$A:$F,2),2)</f>
        <v>1465.38</v>
      </c>
      <c r="FF12">
        <f>ROUND(BD12*VLOOKUP($A12,'Present Values'!$A:$F,4)/VLOOKUP($A12,'Present Values'!$A:$F,2),2)</f>
        <v>1425.88</v>
      </c>
      <c r="FG12">
        <f>ROUND(BE12*VLOOKUP($A12,'Present Values'!$A:$F,4)/VLOOKUP($A12,'Present Values'!$A:$F,2),2)</f>
        <v>1371.44</v>
      </c>
      <c r="FH12">
        <f>ROUND(BF12*VLOOKUP($A12,'Present Values'!$A:$F,4)/VLOOKUP($A12,'Present Values'!$A:$F,2),2)</f>
        <v>1301.45</v>
      </c>
      <c r="FI12">
        <f>ROUND(BG12*VLOOKUP($A12,'Present Values'!$A:$F,4)/VLOOKUP($A12,'Present Values'!$A:$F,2),2)</f>
        <v>1216.1199999999999</v>
      </c>
      <c r="FJ12">
        <f>ROUND(BH12*VLOOKUP($A12,'Present Values'!$A:$F,4)/VLOOKUP($A12,'Present Values'!$A:$F,2),2)</f>
        <v>1116.55</v>
      </c>
      <c r="FK12">
        <f>ROUND(BI12*VLOOKUP($A12,'Present Values'!$A:$F,4)/VLOOKUP($A12,'Present Values'!$A:$F,2),2)</f>
        <v>1005.1</v>
      </c>
      <c r="FL12">
        <f>ROUND(BJ12*VLOOKUP($A12,'Present Values'!$A:$F,4)/VLOOKUP($A12,'Present Values'!$A:$F,2),2)</f>
        <v>885.52</v>
      </c>
      <c r="FM12">
        <f>ROUND(BK12*VLOOKUP($A12,'Present Values'!$A:$F,4)/VLOOKUP($A12,'Present Values'!$A:$F,2),2)</f>
        <v>762.39</v>
      </c>
      <c r="FN12">
        <f>ROUND(BL12*VLOOKUP($A12,'Present Values'!$A:$F,4)/VLOOKUP($A12,'Present Values'!$A:$F,2),2)</f>
        <v>640.45000000000005</v>
      </c>
      <c r="FO12">
        <f>ROUND(BM12*VLOOKUP($A12,'Present Values'!$A:$F,4)/VLOOKUP($A12,'Present Values'!$A:$F,2),2)</f>
        <v>524.02</v>
      </c>
      <c r="FP12">
        <f>ROUND(BN12*VLOOKUP($A12,'Present Values'!$A:$F,4)/VLOOKUP($A12,'Present Values'!$A:$F,2),2)</f>
        <v>416.81</v>
      </c>
      <c r="FQ12">
        <f>ROUND(BO12*VLOOKUP($A12,'Present Values'!$A:$F,4)/VLOOKUP($A12,'Present Values'!$A:$F,2),2)</f>
        <v>321.61</v>
      </c>
      <c r="FR12">
        <f>ROUND(BP12*VLOOKUP($A12,'Present Values'!$A:$F,4)/VLOOKUP($A12,'Present Values'!$A:$F,2),2)</f>
        <v>242.15</v>
      </c>
      <c r="FS12">
        <f>ROUND(BQ12*VLOOKUP($A12,'Present Values'!$A:$F,4)/VLOOKUP($A12,'Present Values'!$A:$F,2),2)</f>
        <v>176.25</v>
      </c>
      <c r="FT12">
        <f>ROUND(BR12*VLOOKUP($A12,'Present Values'!$A:$F,4)/VLOOKUP($A12,'Present Values'!$A:$F,2),2)</f>
        <v>125.44</v>
      </c>
      <c r="FU12">
        <f>ROUND(BS12*VLOOKUP($A12,'Present Values'!$A:$F,4)/VLOOKUP($A12,'Present Values'!$A:$F,2),2)</f>
        <v>84.64</v>
      </c>
      <c r="FV12">
        <f>ROUND(BT12*VLOOKUP($A12,'Present Values'!$A:$F,4)/VLOOKUP($A12,'Present Values'!$A:$F,2),2)</f>
        <v>53.83</v>
      </c>
      <c r="FW12">
        <f>ROUND(BU12*VLOOKUP($A12,'Present Values'!$A:$F,4)/VLOOKUP($A12,'Present Values'!$A:$F,2),2)</f>
        <v>30.94</v>
      </c>
      <c r="FX12">
        <f>ROUND(BV12*VLOOKUP($A12,'Present Values'!$A:$F,4)/VLOOKUP($A12,'Present Values'!$A:$F,2),2)</f>
        <v>15.64</v>
      </c>
      <c r="FY12">
        <f>ROUND(BW12*VLOOKUP($A12,'Present Values'!$A:$F,4)/VLOOKUP($A12,'Present Values'!$A:$F,2),2)</f>
        <v>6.84</v>
      </c>
      <c r="FZ12">
        <f>ROUND(BX12*VLOOKUP($A12,'Present Values'!$A:$F,4)/VLOOKUP($A12,'Present Values'!$A:$F,2),2)</f>
        <v>2.57</v>
      </c>
      <c r="GA12">
        <f>ROUND(BY12*VLOOKUP($A12,'Present Values'!$A:$F,4)/VLOOKUP($A12,'Present Values'!$A:$F,2),2)</f>
        <v>0.78</v>
      </c>
      <c r="GB12">
        <f>ROUND(BZ12*VLOOKUP($A12,'Present Values'!$A:$F,4)/VLOOKUP($A12,'Present Values'!$A:$F,2),2)</f>
        <v>0.18</v>
      </c>
      <c r="GC12">
        <f>ROUND(CA12*VLOOKUP($A12,'Present Values'!$A:$F,4)/VLOOKUP($A12,'Present Values'!$A:$F,2),2)</f>
        <v>0.03</v>
      </c>
      <c r="GD12">
        <f>ROUND(CB12*VLOOKUP($A12,'Present Values'!$A:$F,4)/VLOOKUP($A12,'Present Values'!$A:$F,2),2)</f>
        <v>0</v>
      </c>
      <c r="GE12">
        <f>ROUND(CC12*VLOOKUP($A12,'Present Values'!$A:$F,4)/VLOOKUP($A12,'Present Values'!$A:$F,2),2)</f>
        <v>0</v>
      </c>
      <c r="GF12">
        <f>ROUND(CD12*VLOOKUP($A12,'Present Values'!$A:$F,4)/VLOOKUP($A12,'Present Values'!$A:$F,2),2)</f>
        <v>0</v>
      </c>
      <c r="GG12">
        <f>ROUND(CE12*VLOOKUP($A12,'Present Values'!$A:$F,4)/VLOOKUP($A12,'Present Values'!$A:$F,2),2)</f>
        <v>0</v>
      </c>
      <c r="GH12">
        <f>ROUND(CF12*VLOOKUP($A12,'Present Values'!$A:$F,4)/VLOOKUP($A12,'Present Values'!$A:$F,2),2)</f>
        <v>0</v>
      </c>
      <c r="GI12">
        <f>ROUND(CG12*VLOOKUP($A12,'Present Values'!$A:$F,4)/VLOOKUP($A12,'Present Values'!$A:$F,2),2)</f>
        <v>0</v>
      </c>
      <c r="GJ12">
        <f>ROUND(CH12*VLOOKUP($A12,'Present Values'!$A:$F,4)/VLOOKUP($A12,'Present Values'!$A:$F,2),2)</f>
        <v>0</v>
      </c>
      <c r="GK12">
        <f>ROUND(CI12*VLOOKUP($A12,'Present Values'!$A:$F,4)/VLOOKUP($A12,'Present Values'!$A:$F,2),2)</f>
        <v>0</v>
      </c>
      <c r="GL12">
        <f>ROUND(CJ12*VLOOKUP($A12,'Present Values'!$A:$F,4)/VLOOKUP($A12,'Present Values'!$A:$F,2),2)</f>
        <v>0</v>
      </c>
      <c r="GM12">
        <f>ROUND(CK12*VLOOKUP($A12,'Present Values'!$A:$F,4)/VLOOKUP($A12,'Present Values'!$A:$F,2),2)</f>
        <v>0</v>
      </c>
      <c r="GN12">
        <f>ROUND(CL12*VLOOKUP($A12,'Present Values'!$A:$F,4)/VLOOKUP($A12,'Present Values'!$A:$F,2),2)</f>
        <v>0</v>
      </c>
      <c r="GO12">
        <f>ROUND(CM12*VLOOKUP($A12,'Present Values'!$A:$F,4)/VLOOKUP($A12,'Present Values'!$A:$F,2),2)</f>
        <v>0</v>
      </c>
      <c r="GP12">
        <f>ROUND(CN12*VLOOKUP($A12,'Present Values'!$A:$F,4)/VLOOKUP($A12,'Present Values'!$A:$F,2),2)</f>
        <v>0</v>
      </c>
      <c r="GQ12">
        <f>ROUND(CO12*VLOOKUP($A12,'Present Values'!$A:$F,4)/VLOOKUP($A12,'Present Values'!$A:$F,2),2)</f>
        <v>0</v>
      </c>
      <c r="GR12">
        <f>ROUND(CP12*VLOOKUP($A12,'Present Values'!$A:$F,4)/VLOOKUP($A12,'Present Values'!$A:$F,2),2)</f>
        <v>0</v>
      </c>
      <c r="GS12">
        <f>ROUND(CQ12*VLOOKUP($A12,'Present Values'!$A:$F,4)/VLOOKUP($A12,'Present Values'!$A:$F,2),2)</f>
        <v>0</v>
      </c>
      <c r="GT12">
        <f>ROUND(CR12*VLOOKUP($A12,'Present Values'!$A:$F,4)/VLOOKUP($A12,'Present Values'!$A:$F,2),2)</f>
        <v>0</v>
      </c>
      <c r="GU12">
        <f>ROUND(CS12*VLOOKUP($A12,'Present Values'!$A:$F,4)/VLOOKUP($A12,'Present Values'!$A:$F,2),2)</f>
        <v>0</v>
      </c>
      <c r="GV12">
        <f>ROUND(CT12*VLOOKUP($A12,'Present Values'!$A:$F,4)/VLOOKUP($A12,'Present Values'!$A:$F,2),2)</f>
        <v>0</v>
      </c>
      <c r="GW12">
        <f>ROUND(CU12*VLOOKUP($A12,'Present Values'!$A:$F,4)/VLOOKUP($A12,'Present Values'!$A:$F,2),2)</f>
        <v>0</v>
      </c>
      <c r="GX12">
        <f>ROUND(CV12*VLOOKUP($A12,'Present Values'!$A:$F,4)/VLOOKUP($A12,'Present Values'!$A:$F,2),2)</f>
        <v>0</v>
      </c>
      <c r="GY12">
        <f>ROUND(CW12*VLOOKUP($A12,'Present Values'!$A:$F,4)/VLOOKUP($A12,'Present Values'!$A:$F,2),2)</f>
        <v>0</v>
      </c>
      <c r="HA12" s="3">
        <f>NPV(Assumptions!$C$9, DD12:GY12)*(1+Assumptions!$C$9)</f>
        <v>9047.057853284492</v>
      </c>
      <c r="HB12" s="12">
        <f>'Present Values'!D12</f>
        <v>9047.06</v>
      </c>
      <c r="HD12" s="3">
        <f>NPV(Assumptions!$C$9+0.01,Payouts!$B12:$CW12)*(1.01+Assumptions!$C$9)</f>
        <v>58227.044112996395</v>
      </c>
      <c r="HE12" s="3">
        <f>NPV(Assumptions!$C$9-0.01,Payouts!$B12:$CW12)*(0.99+Assumptions!$C$9)</f>
        <v>128690.46429671835</v>
      </c>
      <c r="HG12" s="3">
        <f>IF(AND(AMMset!D9&gt;0,'Present Values'!F12&gt;0),NPV(Assumptions!$C$9+0.01,Payouts!$DD12:$GY12)*(1.01+Assumptions!$C$9)/AMMset!D9, 0)</f>
        <v>3064.5783206172732</v>
      </c>
      <c r="HH12" s="3">
        <f>IF(AND(AMMset!D9&gt;0,'Present Values'!F12&gt;0),NPV(Assumptions!$C$9-0.01,Payouts!$DD12:$GY12)*(0.99+Assumptions!$C$9)/AMMset!D9, 0)</f>
        <v>6773.176225839723</v>
      </c>
      <c r="HJ12" s="12">
        <v>4357.0200000000004</v>
      </c>
      <c r="HK12" s="12">
        <v>7756.9</v>
      </c>
      <c r="HM12" s="12">
        <v>5630.42</v>
      </c>
      <c r="HN12" s="12">
        <v>12314.08</v>
      </c>
    </row>
    <row r="13" spans="1:222" x14ac:dyDescent="0.25">
      <c r="A13">
        <v>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280.60000000000002</v>
      </c>
      <c r="R13">
        <v>555.46</v>
      </c>
      <c r="S13">
        <v>943.12</v>
      </c>
      <c r="T13">
        <v>1314.23</v>
      </c>
      <c r="U13">
        <v>1889.47</v>
      </c>
      <c r="V13">
        <v>2828.76</v>
      </c>
      <c r="W13">
        <v>3669.1</v>
      </c>
      <c r="X13">
        <v>4802.82</v>
      </c>
      <c r="Y13">
        <v>6132.12</v>
      </c>
      <c r="Z13">
        <v>7779.69</v>
      </c>
      <c r="AA13">
        <v>10414.120000000001</v>
      </c>
      <c r="AB13">
        <v>13519.34</v>
      </c>
      <c r="AC13">
        <v>17929.91</v>
      </c>
      <c r="AD13">
        <v>21618.69</v>
      </c>
      <c r="AE13">
        <v>10101.75</v>
      </c>
      <c r="AF13">
        <v>11323.5</v>
      </c>
      <c r="AG13">
        <v>12211.93</v>
      </c>
      <c r="AH13">
        <v>13102.83</v>
      </c>
      <c r="AI13">
        <v>13859.77</v>
      </c>
      <c r="AJ13">
        <v>14610.42</v>
      </c>
      <c r="AK13">
        <v>15355.25</v>
      </c>
      <c r="AL13">
        <v>16078.41</v>
      </c>
      <c r="AM13">
        <v>16802.46</v>
      </c>
      <c r="AN13">
        <v>17607.79</v>
      </c>
      <c r="AO13">
        <v>18289.59</v>
      </c>
      <c r="AP13">
        <v>18963.25</v>
      </c>
      <c r="AQ13">
        <v>19622.71</v>
      </c>
      <c r="AR13">
        <v>20261.21</v>
      </c>
      <c r="AS13">
        <v>20871.54</v>
      </c>
      <c r="AT13">
        <v>21444.55</v>
      </c>
      <c r="AU13">
        <v>21967.45</v>
      </c>
      <c r="AV13">
        <v>22423.84</v>
      </c>
      <c r="AW13">
        <v>22794.85</v>
      </c>
      <c r="AX13">
        <v>23061.37</v>
      </c>
      <c r="AY13">
        <v>23202.06</v>
      </c>
      <c r="AZ13">
        <v>23194.78</v>
      </c>
      <c r="BA13">
        <v>23017.93</v>
      </c>
      <c r="BB13">
        <v>22651.31</v>
      </c>
      <c r="BC13">
        <v>22078.799999999999</v>
      </c>
      <c r="BD13">
        <v>21290.15</v>
      </c>
      <c r="BE13">
        <v>20240.38</v>
      </c>
      <c r="BF13">
        <v>18938.509999999998</v>
      </c>
      <c r="BG13">
        <v>17409.490000000002</v>
      </c>
      <c r="BH13">
        <v>15691.49</v>
      </c>
      <c r="BI13">
        <v>13833.12</v>
      </c>
      <c r="BJ13">
        <v>11895.67</v>
      </c>
      <c r="BK13">
        <v>9954.35</v>
      </c>
      <c r="BL13">
        <v>8090.83</v>
      </c>
      <c r="BM13">
        <v>6423.29</v>
      </c>
      <c r="BN13">
        <v>4948.05</v>
      </c>
      <c r="BO13">
        <v>3653.25</v>
      </c>
      <c r="BP13">
        <v>2559.91</v>
      </c>
      <c r="BQ13">
        <v>1693.83</v>
      </c>
      <c r="BR13">
        <v>1018.47</v>
      </c>
      <c r="BS13">
        <v>542.79999999999995</v>
      </c>
      <c r="BT13">
        <v>251.44</v>
      </c>
      <c r="BU13">
        <v>99.94</v>
      </c>
      <c r="BV13">
        <v>32.42</v>
      </c>
      <c r="BW13">
        <v>7.88</v>
      </c>
      <c r="BX13">
        <v>1.21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Y13" s="3">
        <f>NPV(Assumptions!$C$9, B13:CW13)*(1+Assumptions!$C$9)</f>
        <v>153397.93101158363</v>
      </c>
      <c r="CZ13" s="12">
        <f>'Present Values'!B13</f>
        <v>153397.93</v>
      </c>
      <c r="DD13">
        <f>ROUND(B13*VLOOKUP($A13,'Present Values'!$A:$F,4)/VLOOKUP($A13,'Present Values'!$A:$F,2),2)</f>
        <v>0</v>
      </c>
      <c r="DE13">
        <f>ROUND(C13*VLOOKUP($A13,'Present Values'!$A:$F,4)/VLOOKUP($A13,'Present Values'!$A:$F,2),2)</f>
        <v>0</v>
      </c>
      <c r="DF13">
        <f>ROUND(D13*VLOOKUP($A13,'Present Values'!$A:$F,4)/VLOOKUP($A13,'Present Values'!$A:$F,2),2)</f>
        <v>0</v>
      </c>
      <c r="DG13">
        <f>ROUND(E13*VLOOKUP($A13,'Present Values'!$A:$F,4)/VLOOKUP($A13,'Present Values'!$A:$F,2),2)</f>
        <v>0</v>
      </c>
      <c r="DH13">
        <f>ROUND(F13*VLOOKUP($A13,'Present Values'!$A:$F,4)/VLOOKUP($A13,'Present Values'!$A:$F,2),2)</f>
        <v>0</v>
      </c>
      <c r="DI13">
        <f>ROUND(G13*VLOOKUP($A13,'Present Values'!$A:$F,4)/VLOOKUP($A13,'Present Values'!$A:$F,2),2)</f>
        <v>0</v>
      </c>
      <c r="DJ13">
        <f>ROUND(H13*VLOOKUP($A13,'Present Values'!$A:$F,4)/VLOOKUP($A13,'Present Values'!$A:$F,2),2)</f>
        <v>0</v>
      </c>
      <c r="DK13">
        <f>ROUND(I13*VLOOKUP($A13,'Present Values'!$A:$F,4)/VLOOKUP($A13,'Present Values'!$A:$F,2),2)</f>
        <v>0</v>
      </c>
      <c r="DL13">
        <f>ROUND(J13*VLOOKUP($A13,'Present Values'!$A:$F,4)/VLOOKUP($A13,'Present Values'!$A:$F,2),2)</f>
        <v>0</v>
      </c>
      <c r="DM13">
        <f>ROUND(K13*VLOOKUP($A13,'Present Values'!$A:$F,4)/VLOOKUP($A13,'Present Values'!$A:$F,2),2)</f>
        <v>0</v>
      </c>
      <c r="DN13">
        <f>ROUND(L13*VLOOKUP($A13,'Present Values'!$A:$F,4)/VLOOKUP($A13,'Present Values'!$A:$F,2),2)</f>
        <v>0</v>
      </c>
      <c r="DO13">
        <f>ROUND(M13*VLOOKUP($A13,'Present Values'!$A:$F,4)/VLOOKUP($A13,'Present Values'!$A:$F,2),2)</f>
        <v>0</v>
      </c>
      <c r="DP13">
        <f>ROUND(N13*VLOOKUP($A13,'Present Values'!$A:$F,4)/VLOOKUP($A13,'Present Values'!$A:$F,2),2)</f>
        <v>0</v>
      </c>
      <c r="DQ13">
        <f>ROUND(O13*VLOOKUP($A13,'Present Values'!$A:$F,4)/VLOOKUP($A13,'Present Values'!$A:$F,2),2)</f>
        <v>0</v>
      </c>
      <c r="DR13">
        <f>ROUND(P13*VLOOKUP($A13,'Present Values'!$A:$F,4)/VLOOKUP($A13,'Present Values'!$A:$F,2),2)</f>
        <v>0</v>
      </c>
      <c r="DS13">
        <f>ROUND(Q13*VLOOKUP($A13,'Present Values'!$A:$F,4)/VLOOKUP($A13,'Present Values'!$A:$F,2),2)</f>
        <v>135.1</v>
      </c>
      <c r="DT13">
        <f>ROUND(R13*VLOOKUP($A13,'Present Values'!$A:$F,4)/VLOOKUP($A13,'Present Values'!$A:$F,2),2)</f>
        <v>267.44</v>
      </c>
      <c r="DU13">
        <f>ROUND(S13*VLOOKUP($A13,'Present Values'!$A:$F,4)/VLOOKUP($A13,'Present Values'!$A:$F,2),2)</f>
        <v>454.1</v>
      </c>
      <c r="DV13">
        <f>ROUND(T13*VLOOKUP($A13,'Present Values'!$A:$F,4)/VLOOKUP($A13,'Present Values'!$A:$F,2),2)</f>
        <v>632.78</v>
      </c>
      <c r="DW13">
        <f>ROUND(U13*VLOOKUP($A13,'Present Values'!$A:$F,4)/VLOOKUP($A13,'Present Values'!$A:$F,2),2)</f>
        <v>909.75</v>
      </c>
      <c r="DX13">
        <f>ROUND(V13*VLOOKUP($A13,'Present Values'!$A:$F,4)/VLOOKUP($A13,'Present Values'!$A:$F,2),2)</f>
        <v>1362</v>
      </c>
      <c r="DY13">
        <f>ROUND(W13*VLOOKUP($A13,'Present Values'!$A:$F,4)/VLOOKUP($A13,'Present Values'!$A:$F,2),2)</f>
        <v>1766.61</v>
      </c>
      <c r="DZ13">
        <f>ROUND(X13*VLOOKUP($A13,'Present Values'!$A:$F,4)/VLOOKUP($A13,'Present Values'!$A:$F,2),2)</f>
        <v>2312.4699999999998</v>
      </c>
      <c r="EA13">
        <f>ROUND(Y13*VLOOKUP($A13,'Present Values'!$A:$F,4)/VLOOKUP($A13,'Present Values'!$A:$F,2),2)</f>
        <v>2952.5</v>
      </c>
      <c r="EB13">
        <f>ROUND(Z13*VLOOKUP($A13,'Present Values'!$A:$F,4)/VLOOKUP($A13,'Present Values'!$A:$F,2),2)</f>
        <v>3745.78</v>
      </c>
      <c r="EC13">
        <f>ROUND(AA13*VLOOKUP($A13,'Present Values'!$A:$F,4)/VLOOKUP($A13,'Present Values'!$A:$F,2),2)</f>
        <v>5014.21</v>
      </c>
      <c r="ED13">
        <f>ROUND(AB13*VLOOKUP($A13,'Present Values'!$A:$F,4)/VLOOKUP($A13,'Present Values'!$A:$F,2),2)</f>
        <v>6509.32</v>
      </c>
      <c r="EE13">
        <f>ROUND(AC13*VLOOKUP($A13,'Present Values'!$A:$F,4)/VLOOKUP($A13,'Present Values'!$A:$F,2),2)</f>
        <v>8632.93</v>
      </c>
      <c r="EF13">
        <f>ROUND(AD13*VLOOKUP($A13,'Present Values'!$A:$F,4)/VLOOKUP($A13,'Present Values'!$A:$F,2),2)</f>
        <v>10409.01</v>
      </c>
      <c r="EG13">
        <f>ROUND(AE13*VLOOKUP($A13,'Present Values'!$A:$F,4)/VLOOKUP($A13,'Present Values'!$A:$F,2),2)</f>
        <v>4863.8100000000004</v>
      </c>
      <c r="EH13">
        <f>ROUND(AF13*VLOOKUP($A13,'Present Values'!$A:$F,4)/VLOOKUP($A13,'Present Values'!$A:$F,2),2)</f>
        <v>5452.06</v>
      </c>
      <c r="EI13">
        <f>ROUND(AG13*VLOOKUP($A13,'Present Values'!$A:$F,4)/VLOOKUP($A13,'Present Values'!$A:$F,2),2)</f>
        <v>5879.82</v>
      </c>
      <c r="EJ13">
        <f>ROUND(AH13*VLOOKUP($A13,'Present Values'!$A:$F,4)/VLOOKUP($A13,'Present Values'!$A:$F,2),2)</f>
        <v>6308.78</v>
      </c>
      <c r="EK13">
        <f>ROUND(AI13*VLOOKUP($A13,'Present Values'!$A:$F,4)/VLOOKUP($A13,'Present Values'!$A:$F,2),2)</f>
        <v>6673.23</v>
      </c>
      <c r="EL13">
        <f>ROUND(AJ13*VLOOKUP($A13,'Present Values'!$A:$F,4)/VLOOKUP($A13,'Present Values'!$A:$F,2),2)</f>
        <v>7034.65</v>
      </c>
      <c r="EM13">
        <f>ROUND(AK13*VLOOKUP($A13,'Present Values'!$A:$F,4)/VLOOKUP($A13,'Present Values'!$A:$F,2),2)</f>
        <v>7393.28</v>
      </c>
      <c r="EN13">
        <f>ROUND(AL13*VLOOKUP($A13,'Present Values'!$A:$F,4)/VLOOKUP($A13,'Present Values'!$A:$F,2),2)</f>
        <v>7741.46</v>
      </c>
      <c r="EO13">
        <f>ROUND(AM13*VLOOKUP($A13,'Present Values'!$A:$F,4)/VLOOKUP($A13,'Present Values'!$A:$F,2),2)</f>
        <v>8090.08</v>
      </c>
      <c r="EP13">
        <f>ROUND(AN13*VLOOKUP($A13,'Present Values'!$A:$F,4)/VLOOKUP($A13,'Present Values'!$A:$F,2),2)</f>
        <v>8477.83</v>
      </c>
      <c r="EQ13">
        <f>ROUND(AO13*VLOOKUP($A13,'Present Values'!$A:$F,4)/VLOOKUP($A13,'Present Values'!$A:$F,2),2)</f>
        <v>8806.11</v>
      </c>
      <c r="ER13">
        <f>ROUND(AP13*VLOOKUP($A13,'Present Values'!$A:$F,4)/VLOOKUP($A13,'Present Values'!$A:$F,2),2)</f>
        <v>9130.4599999999991</v>
      </c>
      <c r="ES13">
        <f>ROUND(AQ13*VLOOKUP($A13,'Present Values'!$A:$F,4)/VLOOKUP($A13,'Present Values'!$A:$F,2),2)</f>
        <v>9447.98</v>
      </c>
      <c r="ET13">
        <f>ROUND(AR13*VLOOKUP($A13,'Present Values'!$A:$F,4)/VLOOKUP($A13,'Present Values'!$A:$F,2),2)</f>
        <v>9755.41</v>
      </c>
      <c r="EU13">
        <f>ROUND(AS13*VLOOKUP($A13,'Present Values'!$A:$F,4)/VLOOKUP($A13,'Present Values'!$A:$F,2),2)</f>
        <v>10049.27</v>
      </c>
      <c r="EV13">
        <f>ROUND(AT13*VLOOKUP($A13,'Present Values'!$A:$F,4)/VLOOKUP($A13,'Present Values'!$A:$F,2),2)</f>
        <v>10325.16</v>
      </c>
      <c r="EW13">
        <f>ROUND(AU13*VLOOKUP($A13,'Present Values'!$A:$F,4)/VLOOKUP($A13,'Present Values'!$A:$F,2),2)</f>
        <v>10576.93</v>
      </c>
      <c r="EX13">
        <f>ROUND(AV13*VLOOKUP($A13,'Present Values'!$A:$F,4)/VLOOKUP($A13,'Present Values'!$A:$F,2),2)</f>
        <v>10796.67</v>
      </c>
      <c r="EY13">
        <f>ROUND(AW13*VLOOKUP($A13,'Present Values'!$A:$F,4)/VLOOKUP($A13,'Present Values'!$A:$F,2),2)</f>
        <v>10975.31</v>
      </c>
      <c r="EZ13">
        <f>ROUND(AX13*VLOOKUP($A13,'Present Values'!$A:$F,4)/VLOOKUP($A13,'Present Values'!$A:$F,2),2)</f>
        <v>11103.63</v>
      </c>
      <c r="FA13">
        <f>ROUND(AY13*VLOOKUP($A13,'Present Values'!$A:$F,4)/VLOOKUP($A13,'Present Values'!$A:$F,2),2)</f>
        <v>11171.37</v>
      </c>
      <c r="FB13">
        <f>ROUND(AZ13*VLOOKUP($A13,'Present Values'!$A:$F,4)/VLOOKUP($A13,'Present Values'!$A:$F,2),2)</f>
        <v>11167.87</v>
      </c>
      <c r="FC13">
        <f>ROUND(BA13*VLOOKUP($A13,'Present Values'!$A:$F,4)/VLOOKUP($A13,'Present Values'!$A:$F,2),2)</f>
        <v>11082.72</v>
      </c>
      <c r="FD13">
        <f>ROUND(BB13*VLOOKUP($A13,'Present Values'!$A:$F,4)/VLOOKUP($A13,'Present Values'!$A:$F,2),2)</f>
        <v>10906.2</v>
      </c>
      <c r="FE13">
        <f>ROUND(BC13*VLOOKUP($A13,'Present Values'!$A:$F,4)/VLOOKUP($A13,'Present Values'!$A:$F,2),2)</f>
        <v>10630.54</v>
      </c>
      <c r="FF13">
        <f>ROUND(BD13*VLOOKUP($A13,'Present Values'!$A:$F,4)/VLOOKUP($A13,'Present Values'!$A:$F,2),2)</f>
        <v>10250.82</v>
      </c>
      <c r="FG13">
        <f>ROUND(BE13*VLOOKUP($A13,'Present Values'!$A:$F,4)/VLOOKUP($A13,'Present Values'!$A:$F,2),2)</f>
        <v>9745.3799999999992</v>
      </c>
      <c r="FH13">
        <f>ROUND(BF13*VLOOKUP($A13,'Present Values'!$A:$F,4)/VLOOKUP($A13,'Present Values'!$A:$F,2),2)</f>
        <v>9118.5499999999993</v>
      </c>
      <c r="FI13">
        <f>ROUND(BG13*VLOOKUP($A13,'Present Values'!$A:$F,4)/VLOOKUP($A13,'Present Values'!$A:$F,2),2)</f>
        <v>8382.35</v>
      </c>
      <c r="FJ13">
        <f>ROUND(BH13*VLOOKUP($A13,'Present Values'!$A:$F,4)/VLOOKUP($A13,'Present Values'!$A:$F,2),2)</f>
        <v>7555.17</v>
      </c>
      <c r="FK13">
        <f>ROUND(BI13*VLOOKUP($A13,'Present Values'!$A:$F,4)/VLOOKUP($A13,'Present Values'!$A:$F,2),2)</f>
        <v>6660.4</v>
      </c>
      <c r="FL13">
        <f>ROUND(BJ13*VLOOKUP($A13,'Present Values'!$A:$F,4)/VLOOKUP($A13,'Present Values'!$A:$F,2),2)</f>
        <v>5727.55</v>
      </c>
      <c r="FM13">
        <f>ROUND(BK13*VLOOKUP($A13,'Present Values'!$A:$F,4)/VLOOKUP($A13,'Present Values'!$A:$F,2),2)</f>
        <v>4792.84</v>
      </c>
      <c r="FN13">
        <f>ROUND(BL13*VLOOKUP($A13,'Present Values'!$A:$F,4)/VLOOKUP($A13,'Present Values'!$A:$F,2),2)</f>
        <v>3895.59</v>
      </c>
      <c r="FO13">
        <f>ROUND(BM13*VLOOKUP($A13,'Present Values'!$A:$F,4)/VLOOKUP($A13,'Present Values'!$A:$F,2),2)</f>
        <v>3092.7</v>
      </c>
      <c r="FP13">
        <f>ROUND(BN13*VLOOKUP($A13,'Present Values'!$A:$F,4)/VLOOKUP($A13,'Present Values'!$A:$F,2),2)</f>
        <v>2382.4</v>
      </c>
      <c r="FQ13">
        <f>ROUND(BO13*VLOOKUP($A13,'Present Values'!$A:$F,4)/VLOOKUP($A13,'Present Values'!$A:$F,2),2)</f>
        <v>1758.97</v>
      </c>
      <c r="FR13">
        <f>ROUND(BP13*VLOOKUP($A13,'Present Values'!$A:$F,4)/VLOOKUP($A13,'Present Values'!$A:$F,2),2)</f>
        <v>1232.55</v>
      </c>
      <c r="FS13">
        <f>ROUND(BQ13*VLOOKUP($A13,'Present Values'!$A:$F,4)/VLOOKUP($A13,'Present Values'!$A:$F,2),2)</f>
        <v>815.55</v>
      </c>
      <c r="FT13">
        <f>ROUND(BR13*VLOOKUP($A13,'Present Values'!$A:$F,4)/VLOOKUP($A13,'Present Values'!$A:$F,2),2)</f>
        <v>490.37</v>
      </c>
      <c r="FU13">
        <f>ROUND(BS13*VLOOKUP($A13,'Present Values'!$A:$F,4)/VLOOKUP($A13,'Present Values'!$A:$F,2),2)</f>
        <v>261.35000000000002</v>
      </c>
      <c r="FV13">
        <f>ROUND(BT13*VLOOKUP($A13,'Present Values'!$A:$F,4)/VLOOKUP($A13,'Present Values'!$A:$F,2),2)</f>
        <v>121.06</v>
      </c>
      <c r="FW13">
        <f>ROUND(BU13*VLOOKUP($A13,'Present Values'!$A:$F,4)/VLOOKUP($A13,'Present Values'!$A:$F,2),2)</f>
        <v>48.12</v>
      </c>
      <c r="FX13">
        <f>ROUND(BV13*VLOOKUP($A13,'Present Values'!$A:$F,4)/VLOOKUP($A13,'Present Values'!$A:$F,2),2)</f>
        <v>15.61</v>
      </c>
      <c r="FY13">
        <f>ROUND(BW13*VLOOKUP($A13,'Present Values'!$A:$F,4)/VLOOKUP($A13,'Present Values'!$A:$F,2),2)</f>
        <v>3.79</v>
      </c>
      <c r="FZ13">
        <f>ROUND(BX13*VLOOKUP($A13,'Present Values'!$A:$F,4)/VLOOKUP($A13,'Present Values'!$A:$F,2),2)</f>
        <v>0.57999999999999996</v>
      </c>
      <c r="GA13">
        <f>ROUND(BY13*VLOOKUP($A13,'Present Values'!$A:$F,4)/VLOOKUP($A13,'Present Values'!$A:$F,2),2)</f>
        <v>0</v>
      </c>
      <c r="GB13">
        <f>ROUND(BZ13*VLOOKUP($A13,'Present Values'!$A:$F,4)/VLOOKUP($A13,'Present Values'!$A:$F,2),2)</f>
        <v>0</v>
      </c>
      <c r="GC13">
        <f>ROUND(CA13*VLOOKUP($A13,'Present Values'!$A:$F,4)/VLOOKUP($A13,'Present Values'!$A:$F,2),2)</f>
        <v>0</v>
      </c>
      <c r="GD13">
        <f>ROUND(CB13*VLOOKUP($A13,'Present Values'!$A:$F,4)/VLOOKUP($A13,'Present Values'!$A:$F,2),2)</f>
        <v>0</v>
      </c>
      <c r="GE13">
        <f>ROUND(CC13*VLOOKUP($A13,'Present Values'!$A:$F,4)/VLOOKUP($A13,'Present Values'!$A:$F,2),2)</f>
        <v>0</v>
      </c>
      <c r="GF13">
        <f>ROUND(CD13*VLOOKUP($A13,'Present Values'!$A:$F,4)/VLOOKUP($A13,'Present Values'!$A:$F,2),2)</f>
        <v>0</v>
      </c>
      <c r="GG13">
        <f>ROUND(CE13*VLOOKUP($A13,'Present Values'!$A:$F,4)/VLOOKUP($A13,'Present Values'!$A:$F,2),2)</f>
        <v>0</v>
      </c>
      <c r="GH13">
        <f>ROUND(CF13*VLOOKUP($A13,'Present Values'!$A:$F,4)/VLOOKUP($A13,'Present Values'!$A:$F,2),2)</f>
        <v>0</v>
      </c>
      <c r="GI13">
        <f>ROUND(CG13*VLOOKUP($A13,'Present Values'!$A:$F,4)/VLOOKUP($A13,'Present Values'!$A:$F,2),2)</f>
        <v>0</v>
      </c>
      <c r="GJ13">
        <f>ROUND(CH13*VLOOKUP($A13,'Present Values'!$A:$F,4)/VLOOKUP($A13,'Present Values'!$A:$F,2),2)</f>
        <v>0</v>
      </c>
      <c r="GK13">
        <f>ROUND(CI13*VLOOKUP($A13,'Present Values'!$A:$F,4)/VLOOKUP($A13,'Present Values'!$A:$F,2),2)</f>
        <v>0</v>
      </c>
      <c r="GL13">
        <f>ROUND(CJ13*VLOOKUP($A13,'Present Values'!$A:$F,4)/VLOOKUP($A13,'Present Values'!$A:$F,2),2)</f>
        <v>0</v>
      </c>
      <c r="GM13">
        <f>ROUND(CK13*VLOOKUP($A13,'Present Values'!$A:$F,4)/VLOOKUP($A13,'Present Values'!$A:$F,2),2)</f>
        <v>0</v>
      </c>
      <c r="GN13">
        <f>ROUND(CL13*VLOOKUP($A13,'Present Values'!$A:$F,4)/VLOOKUP($A13,'Present Values'!$A:$F,2),2)</f>
        <v>0</v>
      </c>
      <c r="GO13">
        <f>ROUND(CM13*VLOOKUP($A13,'Present Values'!$A:$F,4)/VLOOKUP($A13,'Present Values'!$A:$F,2),2)</f>
        <v>0</v>
      </c>
      <c r="GP13">
        <f>ROUND(CN13*VLOOKUP($A13,'Present Values'!$A:$F,4)/VLOOKUP($A13,'Present Values'!$A:$F,2),2)</f>
        <v>0</v>
      </c>
      <c r="GQ13">
        <f>ROUND(CO13*VLOOKUP($A13,'Present Values'!$A:$F,4)/VLOOKUP($A13,'Present Values'!$A:$F,2),2)</f>
        <v>0</v>
      </c>
      <c r="GR13">
        <f>ROUND(CP13*VLOOKUP($A13,'Present Values'!$A:$F,4)/VLOOKUP($A13,'Present Values'!$A:$F,2),2)</f>
        <v>0</v>
      </c>
      <c r="GS13">
        <f>ROUND(CQ13*VLOOKUP($A13,'Present Values'!$A:$F,4)/VLOOKUP($A13,'Present Values'!$A:$F,2),2)</f>
        <v>0</v>
      </c>
      <c r="GT13">
        <f>ROUND(CR13*VLOOKUP($A13,'Present Values'!$A:$F,4)/VLOOKUP($A13,'Present Values'!$A:$F,2),2)</f>
        <v>0</v>
      </c>
      <c r="GU13">
        <f>ROUND(CS13*VLOOKUP($A13,'Present Values'!$A:$F,4)/VLOOKUP($A13,'Present Values'!$A:$F,2),2)</f>
        <v>0</v>
      </c>
      <c r="GV13">
        <f>ROUND(CT13*VLOOKUP($A13,'Present Values'!$A:$F,4)/VLOOKUP($A13,'Present Values'!$A:$F,2),2)</f>
        <v>0</v>
      </c>
      <c r="GW13">
        <f>ROUND(CU13*VLOOKUP($A13,'Present Values'!$A:$F,4)/VLOOKUP($A13,'Present Values'!$A:$F,2),2)</f>
        <v>0</v>
      </c>
      <c r="GX13">
        <f>ROUND(CV13*VLOOKUP($A13,'Present Values'!$A:$F,4)/VLOOKUP($A13,'Present Values'!$A:$F,2),2)</f>
        <v>0</v>
      </c>
      <c r="GY13">
        <f>ROUND(CW13*VLOOKUP($A13,'Present Values'!$A:$F,4)/VLOOKUP($A13,'Present Values'!$A:$F,2),2)</f>
        <v>0</v>
      </c>
      <c r="HA13" s="3">
        <f>NPV(Assumptions!$C$9, DD13:GY13)*(1+Assumptions!$C$9)</f>
        <v>73858.333946146071</v>
      </c>
      <c r="HB13" s="12">
        <f>'Present Values'!D13</f>
        <v>73858.33</v>
      </c>
      <c r="HD13" s="3">
        <f>NPV(Assumptions!$C$9+0.01,Payouts!$B13:$CW13)*(1.01+Assumptions!$C$9)</f>
        <v>106197.10615782753</v>
      </c>
      <c r="HE13" s="3">
        <f>NPV(Assumptions!$C$9-0.01,Payouts!$B13:$CW13)*(0.99+Assumptions!$C$9)</f>
        <v>225007.63213464303</v>
      </c>
      <c r="HG13" s="3">
        <f>IF(AND(AMMset!D10&gt;0,'Present Values'!F13&gt;0),NPV(Assumptions!$C$9+0.01,Payouts!$DD13:$GY13)*(1.01+Assumptions!$C$9)/AMMset!D10, 0)</f>
        <v>3933.2299707380448</v>
      </c>
      <c r="HH13" s="3">
        <f>IF(AND(AMMset!D10&gt;0,'Present Values'!F13&gt;0),NPV(Assumptions!$C$9-0.01,Payouts!$DD13:$GY13)*(0.99+Assumptions!$C$9)/AMMset!D10, 0)</f>
        <v>8333.6239084502376</v>
      </c>
      <c r="HJ13" s="12">
        <v>4592.59</v>
      </c>
      <c r="HK13" s="12">
        <v>7670.94</v>
      </c>
      <c r="HM13" s="12">
        <v>36884.85</v>
      </c>
      <c r="HN13" s="12">
        <v>81646.37</v>
      </c>
    </row>
    <row r="14" spans="1:222" x14ac:dyDescent="0.25">
      <c r="A14">
        <v>10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220.33</v>
      </c>
      <c r="X14">
        <v>435.17</v>
      </c>
      <c r="Y14">
        <v>730.16</v>
      </c>
      <c r="Z14">
        <v>1022.73</v>
      </c>
      <c r="AA14">
        <v>1483.93</v>
      </c>
      <c r="AB14">
        <v>2220.19</v>
      </c>
      <c r="AC14">
        <v>2873.62</v>
      </c>
      <c r="AD14">
        <v>3771.41</v>
      </c>
      <c r="AE14">
        <v>4833.41</v>
      </c>
      <c r="AF14">
        <v>6164.11</v>
      </c>
      <c r="AG14">
        <v>8304.75</v>
      </c>
      <c r="AH14">
        <v>10858.01</v>
      </c>
      <c r="AI14">
        <v>14544.3</v>
      </c>
      <c r="AJ14">
        <v>17662.650000000001</v>
      </c>
      <c r="AK14">
        <v>8288.91</v>
      </c>
      <c r="AL14">
        <v>9323.15</v>
      </c>
      <c r="AM14">
        <v>10068.61</v>
      </c>
      <c r="AN14">
        <v>10815.5</v>
      </c>
      <c r="AO14">
        <v>11446.01</v>
      </c>
      <c r="AP14">
        <v>12070.5</v>
      </c>
      <c r="AQ14">
        <v>12689.43</v>
      </c>
      <c r="AR14">
        <v>13289.18</v>
      </c>
      <c r="AS14">
        <v>13889.45</v>
      </c>
      <c r="AT14">
        <v>14475.41</v>
      </c>
      <c r="AU14">
        <v>15057.97</v>
      </c>
      <c r="AV14">
        <v>15682.33</v>
      </c>
      <c r="AW14">
        <v>16227.69</v>
      </c>
      <c r="AX14">
        <v>16755.73</v>
      </c>
      <c r="AY14">
        <v>17260.46</v>
      </c>
      <c r="AZ14">
        <v>17734.330000000002</v>
      </c>
      <c r="BA14">
        <v>18166.759999999998</v>
      </c>
      <c r="BB14">
        <v>18544.189999999999</v>
      </c>
      <c r="BC14">
        <v>18851.009999999998</v>
      </c>
      <c r="BD14">
        <v>19071.419999999998</v>
      </c>
      <c r="BE14">
        <v>19187.77</v>
      </c>
      <c r="BF14">
        <v>19181.75</v>
      </c>
      <c r="BG14">
        <v>19035.490000000002</v>
      </c>
      <c r="BH14">
        <v>18732.3</v>
      </c>
      <c r="BI14">
        <v>18258.84</v>
      </c>
      <c r="BJ14">
        <v>17606.650000000001</v>
      </c>
      <c r="BK14">
        <v>16738.5</v>
      </c>
      <c r="BL14">
        <v>15661.87</v>
      </c>
      <c r="BM14">
        <v>14397.39</v>
      </c>
      <c r="BN14">
        <v>12976.63</v>
      </c>
      <c r="BO14">
        <v>11439.79</v>
      </c>
      <c r="BP14">
        <v>9837.5400000000009</v>
      </c>
      <c r="BQ14">
        <v>8232.11</v>
      </c>
      <c r="BR14">
        <v>6691</v>
      </c>
      <c r="BS14">
        <v>5311.97</v>
      </c>
      <c r="BT14">
        <v>4091.97</v>
      </c>
      <c r="BU14">
        <v>3021.18</v>
      </c>
      <c r="BV14">
        <v>2117.0100000000002</v>
      </c>
      <c r="BW14">
        <v>1400.77</v>
      </c>
      <c r="BX14">
        <v>842.26</v>
      </c>
      <c r="BY14">
        <v>448.89</v>
      </c>
      <c r="BZ14">
        <v>207.93</v>
      </c>
      <c r="CA14">
        <v>82.65</v>
      </c>
      <c r="CB14">
        <v>26.81</v>
      </c>
      <c r="CC14">
        <v>6.52</v>
      </c>
      <c r="CD14">
        <v>1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Y14" s="3">
        <f>NPV(Assumptions!$C$9, B14:CW14)*(1+Assumptions!$C$9)</f>
        <v>100565.52966887951</v>
      </c>
      <c r="CZ14" s="12">
        <f>'Present Values'!B14</f>
        <v>100565.53</v>
      </c>
      <c r="DD14">
        <f>ROUND(B14*VLOOKUP($A14,'Present Values'!$A:$F,4)/VLOOKUP($A14,'Present Values'!$A:$F,2),2)</f>
        <v>0</v>
      </c>
      <c r="DE14">
        <f>ROUND(C14*VLOOKUP($A14,'Present Values'!$A:$F,4)/VLOOKUP($A14,'Present Values'!$A:$F,2),2)</f>
        <v>0</v>
      </c>
      <c r="DF14">
        <f>ROUND(D14*VLOOKUP($A14,'Present Values'!$A:$F,4)/VLOOKUP($A14,'Present Values'!$A:$F,2),2)</f>
        <v>0</v>
      </c>
      <c r="DG14">
        <f>ROUND(E14*VLOOKUP($A14,'Present Values'!$A:$F,4)/VLOOKUP($A14,'Present Values'!$A:$F,2),2)</f>
        <v>0</v>
      </c>
      <c r="DH14">
        <f>ROUND(F14*VLOOKUP($A14,'Present Values'!$A:$F,4)/VLOOKUP($A14,'Present Values'!$A:$F,2),2)</f>
        <v>0</v>
      </c>
      <c r="DI14">
        <f>ROUND(G14*VLOOKUP($A14,'Present Values'!$A:$F,4)/VLOOKUP($A14,'Present Values'!$A:$F,2),2)</f>
        <v>0</v>
      </c>
      <c r="DJ14">
        <f>ROUND(H14*VLOOKUP($A14,'Present Values'!$A:$F,4)/VLOOKUP($A14,'Present Values'!$A:$F,2),2)</f>
        <v>0</v>
      </c>
      <c r="DK14">
        <f>ROUND(I14*VLOOKUP($A14,'Present Values'!$A:$F,4)/VLOOKUP($A14,'Present Values'!$A:$F,2),2)</f>
        <v>0</v>
      </c>
      <c r="DL14">
        <f>ROUND(J14*VLOOKUP($A14,'Present Values'!$A:$F,4)/VLOOKUP($A14,'Present Values'!$A:$F,2),2)</f>
        <v>0</v>
      </c>
      <c r="DM14">
        <f>ROUND(K14*VLOOKUP($A14,'Present Values'!$A:$F,4)/VLOOKUP($A14,'Present Values'!$A:$F,2),2)</f>
        <v>0</v>
      </c>
      <c r="DN14">
        <f>ROUND(L14*VLOOKUP($A14,'Present Values'!$A:$F,4)/VLOOKUP($A14,'Present Values'!$A:$F,2),2)</f>
        <v>0</v>
      </c>
      <c r="DO14">
        <f>ROUND(M14*VLOOKUP($A14,'Present Values'!$A:$F,4)/VLOOKUP($A14,'Present Values'!$A:$F,2),2)</f>
        <v>0</v>
      </c>
      <c r="DP14">
        <f>ROUND(N14*VLOOKUP($A14,'Present Values'!$A:$F,4)/VLOOKUP($A14,'Present Values'!$A:$F,2),2)</f>
        <v>0</v>
      </c>
      <c r="DQ14">
        <f>ROUND(O14*VLOOKUP($A14,'Present Values'!$A:$F,4)/VLOOKUP($A14,'Present Values'!$A:$F,2),2)</f>
        <v>0</v>
      </c>
      <c r="DR14">
        <f>ROUND(P14*VLOOKUP($A14,'Present Values'!$A:$F,4)/VLOOKUP($A14,'Present Values'!$A:$F,2),2)</f>
        <v>0</v>
      </c>
      <c r="DS14">
        <f>ROUND(Q14*VLOOKUP($A14,'Present Values'!$A:$F,4)/VLOOKUP($A14,'Present Values'!$A:$F,2),2)</f>
        <v>0</v>
      </c>
      <c r="DT14">
        <f>ROUND(R14*VLOOKUP($A14,'Present Values'!$A:$F,4)/VLOOKUP($A14,'Present Values'!$A:$F,2),2)</f>
        <v>0</v>
      </c>
      <c r="DU14">
        <f>ROUND(S14*VLOOKUP($A14,'Present Values'!$A:$F,4)/VLOOKUP($A14,'Present Values'!$A:$F,2),2)</f>
        <v>0</v>
      </c>
      <c r="DV14">
        <f>ROUND(T14*VLOOKUP($A14,'Present Values'!$A:$F,4)/VLOOKUP($A14,'Present Values'!$A:$F,2),2)</f>
        <v>0</v>
      </c>
      <c r="DW14">
        <f>ROUND(U14*VLOOKUP($A14,'Present Values'!$A:$F,4)/VLOOKUP($A14,'Present Values'!$A:$F,2),2)</f>
        <v>0</v>
      </c>
      <c r="DX14">
        <f>ROUND(V14*VLOOKUP($A14,'Present Values'!$A:$F,4)/VLOOKUP($A14,'Present Values'!$A:$F,2),2)</f>
        <v>0</v>
      </c>
      <c r="DY14">
        <f>ROUND(W14*VLOOKUP($A14,'Present Values'!$A:$F,4)/VLOOKUP($A14,'Present Values'!$A:$F,2),2)</f>
        <v>36.72</v>
      </c>
      <c r="DZ14">
        <f>ROUND(X14*VLOOKUP($A14,'Present Values'!$A:$F,4)/VLOOKUP($A14,'Present Values'!$A:$F,2),2)</f>
        <v>72.53</v>
      </c>
      <c r="EA14">
        <f>ROUND(Y14*VLOOKUP($A14,'Present Values'!$A:$F,4)/VLOOKUP($A14,'Present Values'!$A:$F,2),2)</f>
        <v>121.69</v>
      </c>
      <c r="EB14">
        <f>ROUND(Z14*VLOOKUP($A14,'Present Values'!$A:$F,4)/VLOOKUP($A14,'Present Values'!$A:$F,2),2)</f>
        <v>170.45</v>
      </c>
      <c r="EC14">
        <f>ROUND(AA14*VLOOKUP($A14,'Present Values'!$A:$F,4)/VLOOKUP($A14,'Present Values'!$A:$F,2),2)</f>
        <v>247.32</v>
      </c>
      <c r="ED14">
        <f>ROUND(AB14*VLOOKUP($A14,'Present Values'!$A:$F,4)/VLOOKUP($A14,'Present Values'!$A:$F,2),2)</f>
        <v>370.03</v>
      </c>
      <c r="EE14">
        <f>ROUND(AC14*VLOOKUP($A14,'Present Values'!$A:$F,4)/VLOOKUP($A14,'Present Values'!$A:$F,2),2)</f>
        <v>478.94</v>
      </c>
      <c r="EF14">
        <f>ROUND(AD14*VLOOKUP($A14,'Present Values'!$A:$F,4)/VLOOKUP($A14,'Present Values'!$A:$F,2),2)</f>
        <v>628.57000000000005</v>
      </c>
      <c r="EG14">
        <f>ROUND(AE14*VLOOKUP($A14,'Present Values'!$A:$F,4)/VLOOKUP($A14,'Present Values'!$A:$F,2),2)</f>
        <v>805.57</v>
      </c>
      <c r="EH14">
        <f>ROUND(AF14*VLOOKUP($A14,'Present Values'!$A:$F,4)/VLOOKUP($A14,'Present Values'!$A:$F,2),2)</f>
        <v>1027.3499999999999</v>
      </c>
      <c r="EI14">
        <f>ROUND(AG14*VLOOKUP($A14,'Present Values'!$A:$F,4)/VLOOKUP($A14,'Present Values'!$A:$F,2),2)</f>
        <v>1384.12</v>
      </c>
      <c r="EJ14">
        <f>ROUND(AH14*VLOOKUP($A14,'Present Values'!$A:$F,4)/VLOOKUP($A14,'Present Values'!$A:$F,2),2)</f>
        <v>1809.67</v>
      </c>
      <c r="EK14">
        <f>ROUND(AI14*VLOOKUP($A14,'Present Values'!$A:$F,4)/VLOOKUP($A14,'Present Values'!$A:$F,2),2)</f>
        <v>2424.0500000000002</v>
      </c>
      <c r="EL14">
        <f>ROUND(AJ14*VLOOKUP($A14,'Present Values'!$A:$F,4)/VLOOKUP($A14,'Present Values'!$A:$F,2),2)</f>
        <v>2943.77</v>
      </c>
      <c r="EM14">
        <f>ROUND(AK14*VLOOKUP($A14,'Present Values'!$A:$F,4)/VLOOKUP($A14,'Present Values'!$A:$F,2),2)</f>
        <v>1381.48</v>
      </c>
      <c r="EN14">
        <f>ROUND(AL14*VLOOKUP($A14,'Present Values'!$A:$F,4)/VLOOKUP($A14,'Present Values'!$A:$F,2),2)</f>
        <v>1553.86</v>
      </c>
      <c r="EO14">
        <f>ROUND(AM14*VLOOKUP($A14,'Present Values'!$A:$F,4)/VLOOKUP($A14,'Present Values'!$A:$F,2),2)</f>
        <v>1678.1</v>
      </c>
      <c r="EP14">
        <f>ROUND(AN14*VLOOKUP($A14,'Present Values'!$A:$F,4)/VLOOKUP($A14,'Present Values'!$A:$F,2),2)</f>
        <v>1802.58</v>
      </c>
      <c r="EQ14">
        <f>ROUND(AO14*VLOOKUP($A14,'Present Values'!$A:$F,4)/VLOOKUP($A14,'Present Values'!$A:$F,2),2)</f>
        <v>1907.67</v>
      </c>
      <c r="ER14">
        <f>ROUND(AP14*VLOOKUP($A14,'Present Values'!$A:$F,4)/VLOOKUP($A14,'Present Values'!$A:$F,2),2)</f>
        <v>2011.75</v>
      </c>
      <c r="ES14">
        <f>ROUND(AQ14*VLOOKUP($A14,'Present Values'!$A:$F,4)/VLOOKUP($A14,'Present Values'!$A:$F,2),2)</f>
        <v>2114.9</v>
      </c>
      <c r="ET14">
        <f>ROUND(AR14*VLOOKUP($A14,'Present Values'!$A:$F,4)/VLOOKUP($A14,'Present Values'!$A:$F,2),2)</f>
        <v>2214.86</v>
      </c>
      <c r="EU14">
        <f>ROUND(AS14*VLOOKUP($A14,'Present Values'!$A:$F,4)/VLOOKUP($A14,'Present Values'!$A:$F,2),2)</f>
        <v>2314.91</v>
      </c>
      <c r="EV14">
        <f>ROUND(AT14*VLOOKUP($A14,'Present Values'!$A:$F,4)/VLOOKUP($A14,'Present Values'!$A:$F,2),2)</f>
        <v>2412.5700000000002</v>
      </c>
      <c r="EW14">
        <f>ROUND(AU14*VLOOKUP($A14,'Present Values'!$A:$F,4)/VLOOKUP($A14,'Present Values'!$A:$F,2),2)</f>
        <v>2509.66</v>
      </c>
      <c r="EX14">
        <f>ROUND(AV14*VLOOKUP($A14,'Present Values'!$A:$F,4)/VLOOKUP($A14,'Present Values'!$A:$F,2),2)</f>
        <v>2613.7199999999998</v>
      </c>
      <c r="EY14">
        <f>ROUND(AW14*VLOOKUP($A14,'Present Values'!$A:$F,4)/VLOOKUP($A14,'Present Values'!$A:$F,2),2)</f>
        <v>2704.61</v>
      </c>
      <c r="EZ14">
        <f>ROUND(AX14*VLOOKUP($A14,'Present Values'!$A:$F,4)/VLOOKUP($A14,'Present Values'!$A:$F,2),2)</f>
        <v>2792.62</v>
      </c>
      <c r="FA14">
        <f>ROUND(AY14*VLOOKUP($A14,'Present Values'!$A:$F,4)/VLOOKUP($A14,'Present Values'!$A:$F,2),2)</f>
        <v>2876.74</v>
      </c>
      <c r="FB14">
        <f>ROUND(AZ14*VLOOKUP($A14,'Present Values'!$A:$F,4)/VLOOKUP($A14,'Present Values'!$A:$F,2),2)</f>
        <v>2955.72</v>
      </c>
      <c r="FC14">
        <f>ROUND(BA14*VLOOKUP($A14,'Present Values'!$A:$F,4)/VLOOKUP($A14,'Present Values'!$A:$F,2),2)</f>
        <v>3027.79</v>
      </c>
      <c r="FD14">
        <f>ROUND(BB14*VLOOKUP($A14,'Present Values'!$A:$F,4)/VLOOKUP($A14,'Present Values'!$A:$F,2),2)</f>
        <v>3090.7</v>
      </c>
      <c r="FE14">
        <f>ROUND(BC14*VLOOKUP($A14,'Present Values'!$A:$F,4)/VLOOKUP($A14,'Present Values'!$A:$F,2),2)</f>
        <v>3141.83</v>
      </c>
      <c r="FF14">
        <f>ROUND(BD14*VLOOKUP($A14,'Present Values'!$A:$F,4)/VLOOKUP($A14,'Present Values'!$A:$F,2),2)</f>
        <v>3178.57</v>
      </c>
      <c r="FG14">
        <f>ROUND(BE14*VLOOKUP($A14,'Present Values'!$A:$F,4)/VLOOKUP($A14,'Present Values'!$A:$F,2),2)</f>
        <v>3197.96</v>
      </c>
      <c r="FH14">
        <f>ROUND(BF14*VLOOKUP($A14,'Present Values'!$A:$F,4)/VLOOKUP($A14,'Present Values'!$A:$F,2),2)</f>
        <v>3196.96</v>
      </c>
      <c r="FI14">
        <f>ROUND(BG14*VLOOKUP($A14,'Present Values'!$A:$F,4)/VLOOKUP($A14,'Present Values'!$A:$F,2),2)</f>
        <v>3172.58</v>
      </c>
      <c r="FJ14">
        <f>ROUND(BH14*VLOOKUP($A14,'Present Values'!$A:$F,4)/VLOOKUP($A14,'Present Values'!$A:$F,2),2)</f>
        <v>3122.05</v>
      </c>
      <c r="FK14">
        <f>ROUND(BI14*VLOOKUP($A14,'Present Values'!$A:$F,4)/VLOOKUP($A14,'Present Values'!$A:$F,2),2)</f>
        <v>3043.14</v>
      </c>
      <c r="FL14">
        <f>ROUND(BJ14*VLOOKUP($A14,'Present Values'!$A:$F,4)/VLOOKUP($A14,'Present Values'!$A:$F,2),2)</f>
        <v>2934.44</v>
      </c>
      <c r="FM14">
        <f>ROUND(BK14*VLOOKUP($A14,'Present Values'!$A:$F,4)/VLOOKUP($A14,'Present Values'!$A:$F,2),2)</f>
        <v>2789.75</v>
      </c>
      <c r="FN14">
        <f>ROUND(BL14*VLOOKUP($A14,'Present Values'!$A:$F,4)/VLOOKUP($A14,'Present Values'!$A:$F,2),2)</f>
        <v>2610.31</v>
      </c>
      <c r="FO14">
        <f>ROUND(BM14*VLOOKUP($A14,'Present Values'!$A:$F,4)/VLOOKUP($A14,'Present Values'!$A:$F,2),2)</f>
        <v>2399.56</v>
      </c>
      <c r="FP14">
        <f>ROUND(BN14*VLOOKUP($A14,'Present Values'!$A:$F,4)/VLOOKUP($A14,'Present Values'!$A:$F,2),2)</f>
        <v>2162.77</v>
      </c>
      <c r="FQ14">
        <f>ROUND(BO14*VLOOKUP($A14,'Present Values'!$A:$F,4)/VLOOKUP($A14,'Present Values'!$A:$F,2),2)</f>
        <v>1906.63</v>
      </c>
      <c r="FR14">
        <f>ROUND(BP14*VLOOKUP($A14,'Present Values'!$A:$F,4)/VLOOKUP($A14,'Present Values'!$A:$F,2),2)</f>
        <v>1639.59</v>
      </c>
      <c r="FS14">
        <f>ROUND(BQ14*VLOOKUP($A14,'Present Values'!$A:$F,4)/VLOOKUP($A14,'Present Values'!$A:$F,2),2)</f>
        <v>1372.02</v>
      </c>
      <c r="FT14">
        <f>ROUND(BR14*VLOOKUP($A14,'Present Values'!$A:$F,4)/VLOOKUP($A14,'Present Values'!$A:$F,2),2)</f>
        <v>1115.17</v>
      </c>
      <c r="FU14">
        <f>ROUND(BS14*VLOOKUP($A14,'Present Values'!$A:$F,4)/VLOOKUP($A14,'Present Values'!$A:$F,2),2)</f>
        <v>885.33</v>
      </c>
      <c r="FV14">
        <f>ROUND(BT14*VLOOKUP($A14,'Present Values'!$A:$F,4)/VLOOKUP($A14,'Present Values'!$A:$F,2),2)</f>
        <v>681.99</v>
      </c>
      <c r="FW14">
        <f>ROUND(BU14*VLOOKUP($A14,'Present Values'!$A:$F,4)/VLOOKUP($A14,'Present Values'!$A:$F,2),2)</f>
        <v>503.53</v>
      </c>
      <c r="FX14">
        <f>ROUND(BV14*VLOOKUP($A14,'Present Values'!$A:$F,4)/VLOOKUP($A14,'Present Values'!$A:$F,2),2)</f>
        <v>352.83</v>
      </c>
      <c r="FY14">
        <f>ROUND(BW14*VLOOKUP($A14,'Present Values'!$A:$F,4)/VLOOKUP($A14,'Present Values'!$A:$F,2),2)</f>
        <v>233.46</v>
      </c>
      <c r="FZ14">
        <f>ROUND(BX14*VLOOKUP($A14,'Present Values'!$A:$F,4)/VLOOKUP($A14,'Present Values'!$A:$F,2),2)</f>
        <v>140.38</v>
      </c>
      <c r="GA14">
        <f>ROUND(BY14*VLOOKUP($A14,'Present Values'!$A:$F,4)/VLOOKUP($A14,'Present Values'!$A:$F,2),2)</f>
        <v>74.81</v>
      </c>
      <c r="GB14">
        <f>ROUND(BZ14*VLOOKUP($A14,'Present Values'!$A:$F,4)/VLOOKUP($A14,'Present Values'!$A:$F,2),2)</f>
        <v>34.65</v>
      </c>
      <c r="GC14">
        <f>ROUND(CA14*VLOOKUP($A14,'Present Values'!$A:$F,4)/VLOOKUP($A14,'Present Values'!$A:$F,2),2)</f>
        <v>13.77</v>
      </c>
      <c r="GD14">
        <f>ROUND(CB14*VLOOKUP($A14,'Present Values'!$A:$F,4)/VLOOKUP($A14,'Present Values'!$A:$F,2),2)</f>
        <v>4.47</v>
      </c>
      <c r="GE14">
        <f>ROUND(CC14*VLOOKUP($A14,'Present Values'!$A:$F,4)/VLOOKUP($A14,'Present Values'!$A:$F,2),2)</f>
        <v>1.0900000000000001</v>
      </c>
      <c r="GF14">
        <f>ROUND(CD14*VLOOKUP($A14,'Present Values'!$A:$F,4)/VLOOKUP($A14,'Present Values'!$A:$F,2),2)</f>
        <v>0.17</v>
      </c>
      <c r="GG14">
        <f>ROUND(CE14*VLOOKUP($A14,'Present Values'!$A:$F,4)/VLOOKUP($A14,'Present Values'!$A:$F,2),2)</f>
        <v>0</v>
      </c>
      <c r="GH14">
        <f>ROUND(CF14*VLOOKUP($A14,'Present Values'!$A:$F,4)/VLOOKUP($A14,'Present Values'!$A:$F,2),2)</f>
        <v>0</v>
      </c>
      <c r="GI14">
        <f>ROUND(CG14*VLOOKUP($A14,'Present Values'!$A:$F,4)/VLOOKUP($A14,'Present Values'!$A:$F,2),2)</f>
        <v>0</v>
      </c>
      <c r="GJ14">
        <f>ROUND(CH14*VLOOKUP($A14,'Present Values'!$A:$F,4)/VLOOKUP($A14,'Present Values'!$A:$F,2),2)</f>
        <v>0</v>
      </c>
      <c r="GK14">
        <f>ROUND(CI14*VLOOKUP($A14,'Present Values'!$A:$F,4)/VLOOKUP($A14,'Present Values'!$A:$F,2),2)</f>
        <v>0</v>
      </c>
      <c r="GL14">
        <f>ROUND(CJ14*VLOOKUP($A14,'Present Values'!$A:$F,4)/VLOOKUP($A14,'Present Values'!$A:$F,2),2)</f>
        <v>0</v>
      </c>
      <c r="GM14">
        <f>ROUND(CK14*VLOOKUP($A14,'Present Values'!$A:$F,4)/VLOOKUP($A14,'Present Values'!$A:$F,2),2)</f>
        <v>0</v>
      </c>
      <c r="GN14">
        <f>ROUND(CL14*VLOOKUP($A14,'Present Values'!$A:$F,4)/VLOOKUP($A14,'Present Values'!$A:$F,2),2)</f>
        <v>0</v>
      </c>
      <c r="GO14">
        <f>ROUND(CM14*VLOOKUP($A14,'Present Values'!$A:$F,4)/VLOOKUP($A14,'Present Values'!$A:$F,2),2)</f>
        <v>0</v>
      </c>
      <c r="GP14">
        <f>ROUND(CN14*VLOOKUP($A14,'Present Values'!$A:$F,4)/VLOOKUP($A14,'Present Values'!$A:$F,2),2)</f>
        <v>0</v>
      </c>
      <c r="GQ14">
        <f>ROUND(CO14*VLOOKUP($A14,'Present Values'!$A:$F,4)/VLOOKUP($A14,'Present Values'!$A:$F,2),2)</f>
        <v>0</v>
      </c>
      <c r="GR14">
        <f>ROUND(CP14*VLOOKUP($A14,'Present Values'!$A:$F,4)/VLOOKUP($A14,'Present Values'!$A:$F,2),2)</f>
        <v>0</v>
      </c>
      <c r="GS14">
        <f>ROUND(CQ14*VLOOKUP($A14,'Present Values'!$A:$F,4)/VLOOKUP($A14,'Present Values'!$A:$F,2),2)</f>
        <v>0</v>
      </c>
      <c r="GT14">
        <f>ROUND(CR14*VLOOKUP($A14,'Present Values'!$A:$F,4)/VLOOKUP($A14,'Present Values'!$A:$F,2),2)</f>
        <v>0</v>
      </c>
      <c r="GU14">
        <f>ROUND(CS14*VLOOKUP($A14,'Present Values'!$A:$F,4)/VLOOKUP($A14,'Present Values'!$A:$F,2),2)</f>
        <v>0</v>
      </c>
      <c r="GV14">
        <f>ROUND(CT14*VLOOKUP($A14,'Present Values'!$A:$F,4)/VLOOKUP($A14,'Present Values'!$A:$F,2),2)</f>
        <v>0</v>
      </c>
      <c r="GW14">
        <f>ROUND(CU14*VLOOKUP($A14,'Present Values'!$A:$F,4)/VLOOKUP($A14,'Present Values'!$A:$F,2),2)</f>
        <v>0</v>
      </c>
      <c r="GX14">
        <f>ROUND(CV14*VLOOKUP($A14,'Present Values'!$A:$F,4)/VLOOKUP($A14,'Present Values'!$A:$F,2),2)</f>
        <v>0</v>
      </c>
      <c r="GY14">
        <f>ROUND(CW14*VLOOKUP($A14,'Present Values'!$A:$F,4)/VLOOKUP($A14,'Present Values'!$A:$F,2),2)</f>
        <v>0</v>
      </c>
      <c r="HA14" s="3">
        <f>NPV(Assumptions!$C$9, DD14:GY14)*(1+Assumptions!$C$9)</f>
        <v>16760.907955910672</v>
      </c>
      <c r="HB14" s="12">
        <f>'Present Values'!D14</f>
        <v>16760.919999999998</v>
      </c>
      <c r="HD14" s="3">
        <f>NPV(Assumptions!$C$9+0.01,Payouts!$B14:$CW14)*(1.01+Assumptions!$C$9)</f>
        <v>65648.923689729781</v>
      </c>
      <c r="HE14" s="3">
        <f>NPV(Assumptions!$C$9-0.01,Payouts!$B14:$CW14)*(0.99+Assumptions!$C$9)</f>
        <v>156513.81024167617</v>
      </c>
      <c r="HG14" s="3">
        <f>IF(AND(AMMset!D11&gt;0,'Present Values'!F14&gt;0),NPV(Assumptions!$C$9+0.01,Payouts!$DD14:$GY14)*(1.01+Assumptions!$C$9)/AMMset!D11, 0)</f>
        <v>2735.3694716781638</v>
      </c>
      <c r="HH14" s="3">
        <f>IF(AND(AMMset!D11&gt;0,'Present Values'!F14&gt;0),NPV(Assumptions!$C$9-0.01,Payouts!$DD14:$GY14)*(0.99+Assumptions!$C$9)/AMMset!D11, 0)</f>
        <v>6521.4036889067647</v>
      </c>
      <c r="HJ14" s="12">
        <v>4124.01</v>
      </c>
      <c r="HK14" s="12">
        <v>7801.44</v>
      </c>
      <c r="HM14" s="12">
        <v>10968.79</v>
      </c>
      <c r="HN14" s="12">
        <v>25731.87</v>
      </c>
    </row>
    <row r="15" spans="1:222" x14ac:dyDescent="0.25">
      <c r="A15">
        <v>11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200.33</v>
      </c>
      <c r="AC15">
        <v>396.55</v>
      </c>
      <c r="AD15">
        <v>673.32</v>
      </c>
      <c r="AE15">
        <v>938.26</v>
      </c>
      <c r="AF15">
        <v>1348.94</v>
      </c>
      <c r="AG15">
        <v>2019.52</v>
      </c>
      <c r="AH15">
        <v>2619.46</v>
      </c>
      <c r="AI15">
        <v>3428.85</v>
      </c>
      <c r="AJ15">
        <v>4377.87</v>
      </c>
      <c r="AK15">
        <v>5554.1</v>
      </c>
      <c r="AL15">
        <v>7434.89</v>
      </c>
      <c r="AM15">
        <v>9651.7800000000007</v>
      </c>
      <c r="AN15">
        <v>12800.59</v>
      </c>
      <c r="AO15">
        <v>15434.09</v>
      </c>
      <c r="AP15">
        <v>7211.88</v>
      </c>
      <c r="AQ15">
        <v>8084.12</v>
      </c>
      <c r="AR15">
        <v>8718.39</v>
      </c>
      <c r="AS15">
        <v>9354.42</v>
      </c>
      <c r="AT15">
        <v>9894.82</v>
      </c>
      <c r="AU15">
        <v>10430.73</v>
      </c>
      <c r="AV15">
        <v>10962.48</v>
      </c>
      <c r="AW15">
        <v>11478.76</v>
      </c>
      <c r="AX15">
        <v>11995.68</v>
      </c>
      <c r="AY15">
        <v>12570.62</v>
      </c>
      <c r="AZ15">
        <v>13057.37</v>
      </c>
      <c r="BA15">
        <v>13538.31</v>
      </c>
      <c r="BB15">
        <v>14009.11</v>
      </c>
      <c r="BC15">
        <v>14464.96</v>
      </c>
      <c r="BD15">
        <v>14900.68</v>
      </c>
      <c r="BE15">
        <v>15309.77</v>
      </c>
      <c r="BF15">
        <v>15683.08</v>
      </c>
      <c r="BG15">
        <v>16008.91</v>
      </c>
      <c r="BH15">
        <v>16273.78</v>
      </c>
      <c r="BI15">
        <v>16464.060000000001</v>
      </c>
      <c r="BJ15">
        <v>16564.5</v>
      </c>
      <c r="BK15">
        <v>16559.3</v>
      </c>
      <c r="BL15">
        <v>16433.04</v>
      </c>
      <c r="BM15">
        <v>16171.3</v>
      </c>
      <c r="BN15">
        <v>15762.57</v>
      </c>
      <c r="BO15">
        <v>15199.54</v>
      </c>
      <c r="BP15">
        <v>14450.09</v>
      </c>
      <c r="BQ15">
        <v>13520.65</v>
      </c>
      <c r="BR15">
        <v>12429.04</v>
      </c>
      <c r="BS15">
        <v>11202.52</v>
      </c>
      <c r="BT15">
        <v>9875.7900000000009</v>
      </c>
      <c r="BU15">
        <v>8492.6</v>
      </c>
      <c r="BV15">
        <v>7106.65</v>
      </c>
      <c r="BW15">
        <v>5776.23</v>
      </c>
      <c r="BX15">
        <v>4585.74</v>
      </c>
      <c r="BY15">
        <v>3532.53</v>
      </c>
      <c r="BZ15">
        <v>2608.14</v>
      </c>
      <c r="CA15">
        <v>1827.58</v>
      </c>
      <c r="CB15">
        <v>1209.26</v>
      </c>
      <c r="CC15">
        <v>727.11</v>
      </c>
      <c r="CD15">
        <v>387.52</v>
      </c>
      <c r="CE15">
        <v>179.51</v>
      </c>
      <c r="CF15">
        <v>71.349999999999994</v>
      </c>
      <c r="CG15">
        <v>23.14</v>
      </c>
      <c r="CH15">
        <v>5.63</v>
      </c>
      <c r="CI15">
        <v>0.86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Y15" s="3">
        <f>NPV(Assumptions!$C$9, B15:CW15)*(1+Assumptions!$C$9)</f>
        <v>72660.841028571536</v>
      </c>
      <c r="CZ15" s="12">
        <f>'Present Values'!B15</f>
        <v>72660.84</v>
      </c>
      <c r="DD15">
        <f>ROUND(B15*VLOOKUP($A15,'Present Values'!$A:$F,4)/VLOOKUP($A15,'Present Values'!$A:$F,2),2)</f>
        <v>0</v>
      </c>
      <c r="DE15">
        <f>ROUND(C15*VLOOKUP($A15,'Present Values'!$A:$F,4)/VLOOKUP($A15,'Present Values'!$A:$F,2),2)</f>
        <v>0</v>
      </c>
      <c r="DF15">
        <f>ROUND(D15*VLOOKUP($A15,'Present Values'!$A:$F,4)/VLOOKUP($A15,'Present Values'!$A:$F,2),2)</f>
        <v>0</v>
      </c>
      <c r="DG15">
        <f>ROUND(E15*VLOOKUP($A15,'Present Values'!$A:$F,4)/VLOOKUP($A15,'Present Values'!$A:$F,2),2)</f>
        <v>0</v>
      </c>
      <c r="DH15">
        <f>ROUND(F15*VLOOKUP($A15,'Present Values'!$A:$F,4)/VLOOKUP($A15,'Present Values'!$A:$F,2),2)</f>
        <v>0</v>
      </c>
      <c r="DI15">
        <f>ROUND(G15*VLOOKUP($A15,'Present Values'!$A:$F,4)/VLOOKUP($A15,'Present Values'!$A:$F,2),2)</f>
        <v>0</v>
      </c>
      <c r="DJ15">
        <f>ROUND(H15*VLOOKUP($A15,'Present Values'!$A:$F,4)/VLOOKUP($A15,'Present Values'!$A:$F,2),2)</f>
        <v>0</v>
      </c>
      <c r="DK15">
        <f>ROUND(I15*VLOOKUP($A15,'Present Values'!$A:$F,4)/VLOOKUP($A15,'Present Values'!$A:$F,2),2)</f>
        <v>0</v>
      </c>
      <c r="DL15">
        <f>ROUND(J15*VLOOKUP($A15,'Present Values'!$A:$F,4)/VLOOKUP($A15,'Present Values'!$A:$F,2),2)</f>
        <v>0</v>
      </c>
      <c r="DM15">
        <f>ROUND(K15*VLOOKUP($A15,'Present Values'!$A:$F,4)/VLOOKUP($A15,'Present Values'!$A:$F,2),2)</f>
        <v>0</v>
      </c>
      <c r="DN15">
        <f>ROUND(L15*VLOOKUP($A15,'Present Values'!$A:$F,4)/VLOOKUP($A15,'Present Values'!$A:$F,2),2)</f>
        <v>0</v>
      </c>
      <c r="DO15">
        <f>ROUND(M15*VLOOKUP($A15,'Present Values'!$A:$F,4)/VLOOKUP($A15,'Present Values'!$A:$F,2),2)</f>
        <v>0</v>
      </c>
      <c r="DP15">
        <f>ROUND(N15*VLOOKUP($A15,'Present Values'!$A:$F,4)/VLOOKUP($A15,'Present Values'!$A:$F,2),2)</f>
        <v>0</v>
      </c>
      <c r="DQ15">
        <f>ROUND(O15*VLOOKUP($A15,'Present Values'!$A:$F,4)/VLOOKUP($A15,'Present Values'!$A:$F,2),2)</f>
        <v>0</v>
      </c>
      <c r="DR15">
        <f>ROUND(P15*VLOOKUP($A15,'Present Values'!$A:$F,4)/VLOOKUP($A15,'Present Values'!$A:$F,2),2)</f>
        <v>0</v>
      </c>
      <c r="DS15">
        <f>ROUND(Q15*VLOOKUP($A15,'Present Values'!$A:$F,4)/VLOOKUP($A15,'Present Values'!$A:$F,2),2)</f>
        <v>0</v>
      </c>
      <c r="DT15">
        <f>ROUND(R15*VLOOKUP($A15,'Present Values'!$A:$F,4)/VLOOKUP($A15,'Present Values'!$A:$F,2),2)</f>
        <v>0</v>
      </c>
      <c r="DU15">
        <f>ROUND(S15*VLOOKUP($A15,'Present Values'!$A:$F,4)/VLOOKUP($A15,'Present Values'!$A:$F,2),2)</f>
        <v>0</v>
      </c>
      <c r="DV15">
        <f>ROUND(T15*VLOOKUP($A15,'Present Values'!$A:$F,4)/VLOOKUP($A15,'Present Values'!$A:$F,2),2)</f>
        <v>0</v>
      </c>
      <c r="DW15">
        <f>ROUND(U15*VLOOKUP($A15,'Present Values'!$A:$F,4)/VLOOKUP($A15,'Present Values'!$A:$F,2),2)</f>
        <v>0</v>
      </c>
      <c r="DX15">
        <f>ROUND(V15*VLOOKUP($A15,'Present Values'!$A:$F,4)/VLOOKUP($A15,'Present Values'!$A:$F,2),2)</f>
        <v>0</v>
      </c>
      <c r="DY15">
        <f>ROUND(W15*VLOOKUP($A15,'Present Values'!$A:$F,4)/VLOOKUP($A15,'Present Values'!$A:$F,2),2)</f>
        <v>0</v>
      </c>
      <c r="DZ15">
        <f>ROUND(X15*VLOOKUP($A15,'Present Values'!$A:$F,4)/VLOOKUP($A15,'Present Values'!$A:$F,2),2)</f>
        <v>0</v>
      </c>
      <c r="EA15">
        <f>ROUND(Y15*VLOOKUP($A15,'Present Values'!$A:$F,4)/VLOOKUP($A15,'Present Values'!$A:$F,2),2)</f>
        <v>0</v>
      </c>
      <c r="EB15">
        <f>ROUND(Z15*VLOOKUP($A15,'Present Values'!$A:$F,4)/VLOOKUP($A15,'Present Values'!$A:$F,2),2)</f>
        <v>0</v>
      </c>
      <c r="EC15">
        <f>ROUND(AA15*VLOOKUP($A15,'Present Values'!$A:$F,4)/VLOOKUP($A15,'Present Values'!$A:$F,2),2)</f>
        <v>0</v>
      </c>
      <c r="ED15">
        <f>ROUND(AB15*VLOOKUP($A15,'Present Values'!$A:$F,4)/VLOOKUP($A15,'Present Values'!$A:$F,2),2)</f>
        <v>14.84</v>
      </c>
      <c r="EE15">
        <f>ROUND(AC15*VLOOKUP($A15,'Present Values'!$A:$F,4)/VLOOKUP($A15,'Present Values'!$A:$F,2),2)</f>
        <v>29.37</v>
      </c>
      <c r="EF15">
        <f>ROUND(AD15*VLOOKUP($A15,'Present Values'!$A:$F,4)/VLOOKUP($A15,'Present Values'!$A:$F,2),2)</f>
        <v>49.88</v>
      </c>
      <c r="EG15">
        <f>ROUND(AE15*VLOOKUP($A15,'Present Values'!$A:$F,4)/VLOOKUP($A15,'Present Values'!$A:$F,2),2)</f>
        <v>69.5</v>
      </c>
      <c r="EH15">
        <f>ROUND(AF15*VLOOKUP($A15,'Present Values'!$A:$F,4)/VLOOKUP($A15,'Present Values'!$A:$F,2),2)</f>
        <v>99.92</v>
      </c>
      <c r="EI15">
        <f>ROUND(AG15*VLOOKUP($A15,'Present Values'!$A:$F,4)/VLOOKUP($A15,'Present Values'!$A:$F,2),2)</f>
        <v>149.59</v>
      </c>
      <c r="EJ15">
        <f>ROUND(AH15*VLOOKUP($A15,'Present Values'!$A:$F,4)/VLOOKUP($A15,'Present Values'!$A:$F,2),2)</f>
        <v>194.03</v>
      </c>
      <c r="EK15">
        <f>ROUND(AI15*VLOOKUP($A15,'Present Values'!$A:$F,4)/VLOOKUP($A15,'Present Values'!$A:$F,2),2)</f>
        <v>253.99</v>
      </c>
      <c r="EL15">
        <f>ROUND(AJ15*VLOOKUP($A15,'Present Values'!$A:$F,4)/VLOOKUP($A15,'Present Values'!$A:$F,2),2)</f>
        <v>324.29000000000002</v>
      </c>
      <c r="EM15">
        <f>ROUND(AK15*VLOOKUP($A15,'Present Values'!$A:$F,4)/VLOOKUP($A15,'Present Values'!$A:$F,2),2)</f>
        <v>411.41</v>
      </c>
      <c r="EN15">
        <f>ROUND(AL15*VLOOKUP($A15,'Present Values'!$A:$F,4)/VLOOKUP($A15,'Present Values'!$A:$F,2),2)</f>
        <v>550.73</v>
      </c>
      <c r="EO15">
        <f>ROUND(AM15*VLOOKUP($A15,'Present Values'!$A:$F,4)/VLOOKUP($A15,'Present Values'!$A:$F,2),2)</f>
        <v>714.95</v>
      </c>
      <c r="EP15">
        <f>ROUND(AN15*VLOOKUP($A15,'Present Values'!$A:$F,4)/VLOOKUP($A15,'Present Values'!$A:$F,2),2)</f>
        <v>948.19</v>
      </c>
      <c r="EQ15">
        <f>ROUND(AO15*VLOOKUP($A15,'Present Values'!$A:$F,4)/VLOOKUP($A15,'Present Values'!$A:$F,2),2)</f>
        <v>1143.26</v>
      </c>
      <c r="ER15">
        <f>ROUND(AP15*VLOOKUP($A15,'Present Values'!$A:$F,4)/VLOOKUP($A15,'Present Values'!$A:$F,2),2)</f>
        <v>534.21</v>
      </c>
      <c r="ES15">
        <f>ROUND(AQ15*VLOOKUP($A15,'Present Values'!$A:$F,4)/VLOOKUP($A15,'Present Values'!$A:$F,2),2)</f>
        <v>598.82000000000005</v>
      </c>
      <c r="ET15">
        <f>ROUND(AR15*VLOOKUP($A15,'Present Values'!$A:$F,4)/VLOOKUP($A15,'Present Values'!$A:$F,2),2)</f>
        <v>645.80999999999995</v>
      </c>
      <c r="EU15">
        <f>ROUND(AS15*VLOOKUP($A15,'Present Values'!$A:$F,4)/VLOOKUP($A15,'Present Values'!$A:$F,2),2)</f>
        <v>692.92</v>
      </c>
      <c r="EV15">
        <f>ROUND(AT15*VLOOKUP($A15,'Present Values'!$A:$F,4)/VLOOKUP($A15,'Present Values'!$A:$F,2),2)</f>
        <v>732.95</v>
      </c>
      <c r="EW15">
        <f>ROUND(AU15*VLOOKUP($A15,'Present Values'!$A:$F,4)/VLOOKUP($A15,'Present Values'!$A:$F,2),2)</f>
        <v>772.65</v>
      </c>
      <c r="EX15">
        <f>ROUND(AV15*VLOOKUP($A15,'Present Values'!$A:$F,4)/VLOOKUP($A15,'Present Values'!$A:$F,2),2)</f>
        <v>812.03</v>
      </c>
      <c r="EY15">
        <f>ROUND(AW15*VLOOKUP($A15,'Present Values'!$A:$F,4)/VLOOKUP($A15,'Present Values'!$A:$F,2),2)</f>
        <v>850.28</v>
      </c>
      <c r="EZ15">
        <f>ROUND(AX15*VLOOKUP($A15,'Present Values'!$A:$F,4)/VLOOKUP($A15,'Present Values'!$A:$F,2),2)</f>
        <v>888.57</v>
      </c>
      <c r="FA15">
        <f>ROUND(AY15*VLOOKUP($A15,'Present Values'!$A:$F,4)/VLOOKUP($A15,'Present Values'!$A:$F,2),2)</f>
        <v>931.16</v>
      </c>
      <c r="FB15">
        <f>ROUND(AZ15*VLOOKUP($A15,'Present Values'!$A:$F,4)/VLOOKUP($A15,'Present Values'!$A:$F,2),2)</f>
        <v>967.21</v>
      </c>
      <c r="FC15">
        <f>ROUND(BA15*VLOOKUP($A15,'Present Values'!$A:$F,4)/VLOOKUP($A15,'Present Values'!$A:$F,2),2)</f>
        <v>1002.84</v>
      </c>
      <c r="FD15">
        <f>ROUND(BB15*VLOOKUP($A15,'Present Values'!$A:$F,4)/VLOOKUP($A15,'Present Values'!$A:$F,2),2)</f>
        <v>1037.71</v>
      </c>
      <c r="FE15">
        <f>ROUND(BC15*VLOOKUP($A15,'Present Values'!$A:$F,4)/VLOOKUP($A15,'Present Values'!$A:$F,2),2)</f>
        <v>1071.48</v>
      </c>
      <c r="FF15">
        <f>ROUND(BD15*VLOOKUP($A15,'Present Values'!$A:$F,4)/VLOOKUP($A15,'Present Values'!$A:$F,2),2)</f>
        <v>1103.75</v>
      </c>
      <c r="FG15">
        <f>ROUND(BE15*VLOOKUP($A15,'Present Values'!$A:$F,4)/VLOOKUP($A15,'Present Values'!$A:$F,2),2)</f>
        <v>1134.06</v>
      </c>
      <c r="FH15">
        <f>ROUND(BF15*VLOOKUP($A15,'Present Values'!$A:$F,4)/VLOOKUP($A15,'Present Values'!$A:$F,2),2)</f>
        <v>1161.71</v>
      </c>
      <c r="FI15">
        <f>ROUND(BG15*VLOOKUP($A15,'Present Values'!$A:$F,4)/VLOOKUP($A15,'Present Values'!$A:$F,2),2)</f>
        <v>1185.8399999999999</v>
      </c>
      <c r="FJ15">
        <f>ROUND(BH15*VLOOKUP($A15,'Present Values'!$A:$F,4)/VLOOKUP($A15,'Present Values'!$A:$F,2),2)</f>
        <v>1205.46</v>
      </c>
      <c r="FK15">
        <f>ROUND(BI15*VLOOKUP($A15,'Present Values'!$A:$F,4)/VLOOKUP($A15,'Present Values'!$A:$F,2),2)</f>
        <v>1219.56</v>
      </c>
      <c r="FL15">
        <f>ROUND(BJ15*VLOOKUP($A15,'Present Values'!$A:$F,4)/VLOOKUP($A15,'Present Values'!$A:$F,2),2)</f>
        <v>1227</v>
      </c>
      <c r="FM15">
        <f>ROUND(BK15*VLOOKUP($A15,'Present Values'!$A:$F,4)/VLOOKUP($A15,'Present Values'!$A:$F,2),2)</f>
        <v>1226.6099999999999</v>
      </c>
      <c r="FN15">
        <f>ROUND(BL15*VLOOKUP($A15,'Present Values'!$A:$F,4)/VLOOKUP($A15,'Present Values'!$A:$F,2),2)</f>
        <v>1217.26</v>
      </c>
      <c r="FO15">
        <f>ROUND(BM15*VLOOKUP($A15,'Present Values'!$A:$F,4)/VLOOKUP($A15,'Present Values'!$A:$F,2),2)</f>
        <v>1197.8699999999999</v>
      </c>
      <c r="FP15">
        <f>ROUND(BN15*VLOOKUP($A15,'Present Values'!$A:$F,4)/VLOOKUP($A15,'Present Values'!$A:$F,2),2)</f>
        <v>1167.5999999999999</v>
      </c>
      <c r="FQ15">
        <f>ROUND(BO15*VLOOKUP($A15,'Present Values'!$A:$F,4)/VLOOKUP($A15,'Present Values'!$A:$F,2),2)</f>
        <v>1125.8900000000001</v>
      </c>
      <c r="FR15">
        <f>ROUND(BP15*VLOOKUP($A15,'Present Values'!$A:$F,4)/VLOOKUP($A15,'Present Values'!$A:$F,2),2)</f>
        <v>1070.3800000000001</v>
      </c>
      <c r="FS15">
        <f>ROUND(BQ15*VLOOKUP($A15,'Present Values'!$A:$F,4)/VLOOKUP($A15,'Present Values'!$A:$F,2),2)</f>
        <v>1001.53</v>
      </c>
      <c r="FT15">
        <f>ROUND(BR15*VLOOKUP($A15,'Present Values'!$A:$F,4)/VLOOKUP($A15,'Present Values'!$A:$F,2),2)</f>
        <v>920.67</v>
      </c>
      <c r="FU15">
        <f>ROUND(BS15*VLOOKUP($A15,'Present Values'!$A:$F,4)/VLOOKUP($A15,'Present Values'!$A:$F,2),2)</f>
        <v>829.82</v>
      </c>
      <c r="FV15">
        <f>ROUND(BT15*VLOOKUP($A15,'Present Values'!$A:$F,4)/VLOOKUP($A15,'Present Values'!$A:$F,2),2)</f>
        <v>731.54</v>
      </c>
      <c r="FW15">
        <f>ROUND(BU15*VLOOKUP($A15,'Present Values'!$A:$F,4)/VLOOKUP($A15,'Present Values'!$A:$F,2),2)</f>
        <v>629.08000000000004</v>
      </c>
      <c r="FX15">
        <f>ROUND(BV15*VLOOKUP($A15,'Present Values'!$A:$F,4)/VLOOKUP($A15,'Present Values'!$A:$F,2),2)</f>
        <v>526.41999999999996</v>
      </c>
      <c r="FY15">
        <f>ROUND(BW15*VLOOKUP($A15,'Present Values'!$A:$F,4)/VLOOKUP($A15,'Present Values'!$A:$F,2),2)</f>
        <v>427.87</v>
      </c>
      <c r="FZ15">
        <f>ROUND(BX15*VLOOKUP($A15,'Present Values'!$A:$F,4)/VLOOKUP($A15,'Present Values'!$A:$F,2),2)</f>
        <v>339.68</v>
      </c>
      <c r="GA15">
        <f>ROUND(BY15*VLOOKUP($A15,'Present Values'!$A:$F,4)/VLOOKUP($A15,'Present Values'!$A:$F,2),2)</f>
        <v>261.67</v>
      </c>
      <c r="GB15">
        <f>ROUND(BZ15*VLOOKUP($A15,'Present Values'!$A:$F,4)/VLOOKUP($A15,'Present Values'!$A:$F,2),2)</f>
        <v>193.2</v>
      </c>
      <c r="GC15">
        <f>ROUND(CA15*VLOOKUP($A15,'Present Values'!$A:$F,4)/VLOOKUP($A15,'Present Values'!$A:$F,2),2)</f>
        <v>135.38</v>
      </c>
      <c r="GD15">
        <f>ROUND(CB15*VLOOKUP($A15,'Present Values'!$A:$F,4)/VLOOKUP($A15,'Present Values'!$A:$F,2),2)</f>
        <v>89.57</v>
      </c>
      <c r="GE15">
        <f>ROUND(CC15*VLOOKUP($A15,'Present Values'!$A:$F,4)/VLOOKUP($A15,'Present Values'!$A:$F,2),2)</f>
        <v>53.86</v>
      </c>
      <c r="GF15">
        <f>ROUND(CD15*VLOOKUP($A15,'Present Values'!$A:$F,4)/VLOOKUP($A15,'Present Values'!$A:$F,2),2)</f>
        <v>28.71</v>
      </c>
      <c r="GG15">
        <f>ROUND(CE15*VLOOKUP($A15,'Present Values'!$A:$F,4)/VLOOKUP($A15,'Present Values'!$A:$F,2),2)</f>
        <v>13.3</v>
      </c>
      <c r="GH15">
        <f>ROUND(CF15*VLOOKUP($A15,'Present Values'!$A:$F,4)/VLOOKUP($A15,'Present Values'!$A:$F,2),2)</f>
        <v>5.29</v>
      </c>
      <c r="GI15">
        <f>ROUND(CG15*VLOOKUP($A15,'Present Values'!$A:$F,4)/VLOOKUP($A15,'Present Values'!$A:$F,2),2)</f>
        <v>1.71</v>
      </c>
      <c r="GJ15">
        <f>ROUND(CH15*VLOOKUP($A15,'Present Values'!$A:$F,4)/VLOOKUP($A15,'Present Values'!$A:$F,2),2)</f>
        <v>0.42</v>
      </c>
      <c r="GK15">
        <f>ROUND(CI15*VLOOKUP($A15,'Present Values'!$A:$F,4)/VLOOKUP($A15,'Present Values'!$A:$F,2),2)</f>
        <v>0.06</v>
      </c>
      <c r="GL15">
        <f>ROUND(CJ15*VLOOKUP($A15,'Present Values'!$A:$F,4)/VLOOKUP($A15,'Present Values'!$A:$F,2),2)</f>
        <v>0</v>
      </c>
      <c r="GM15">
        <f>ROUND(CK15*VLOOKUP($A15,'Present Values'!$A:$F,4)/VLOOKUP($A15,'Present Values'!$A:$F,2),2)</f>
        <v>0</v>
      </c>
      <c r="GN15">
        <f>ROUND(CL15*VLOOKUP($A15,'Present Values'!$A:$F,4)/VLOOKUP($A15,'Present Values'!$A:$F,2),2)</f>
        <v>0</v>
      </c>
      <c r="GO15">
        <f>ROUND(CM15*VLOOKUP($A15,'Present Values'!$A:$F,4)/VLOOKUP($A15,'Present Values'!$A:$F,2),2)</f>
        <v>0</v>
      </c>
      <c r="GP15">
        <f>ROUND(CN15*VLOOKUP($A15,'Present Values'!$A:$F,4)/VLOOKUP($A15,'Present Values'!$A:$F,2),2)</f>
        <v>0</v>
      </c>
      <c r="GQ15">
        <f>ROUND(CO15*VLOOKUP($A15,'Present Values'!$A:$F,4)/VLOOKUP($A15,'Present Values'!$A:$F,2),2)</f>
        <v>0</v>
      </c>
      <c r="GR15">
        <f>ROUND(CP15*VLOOKUP($A15,'Present Values'!$A:$F,4)/VLOOKUP($A15,'Present Values'!$A:$F,2),2)</f>
        <v>0</v>
      </c>
      <c r="GS15">
        <f>ROUND(CQ15*VLOOKUP($A15,'Present Values'!$A:$F,4)/VLOOKUP($A15,'Present Values'!$A:$F,2),2)</f>
        <v>0</v>
      </c>
      <c r="GT15">
        <f>ROUND(CR15*VLOOKUP($A15,'Present Values'!$A:$F,4)/VLOOKUP($A15,'Present Values'!$A:$F,2),2)</f>
        <v>0</v>
      </c>
      <c r="GU15">
        <f>ROUND(CS15*VLOOKUP($A15,'Present Values'!$A:$F,4)/VLOOKUP($A15,'Present Values'!$A:$F,2),2)</f>
        <v>0</v>
      </c>
      <c r="GV15">
        <f>ROUND(CT15*VLOOKUP($A15,'Present Values'!$A:$F,4)/VLOOKUP($A15,'Present Values'!$A:$F,2),2)</f>
        <v>0</v>
      </c>
      <c r="GW15">
        <f>ROUND(CU15*VLOOKUP($A15,'Present Values'!$A:$F,4)/VLOOKUP($A15,'Present Values'!$A:$F,2),2)</f>
        <v>0</v>
      </c>
      <c r="GX15">
        <f>ROUND(CV15*VLOOKUP($A15,'Present Values'!$A:$F,4)/VLOOKUP($A15,'Present Values'!$A:$F,2),2)</f>
        <v>0</v>
      </c>
      <c r="GY15">
        <f>ROUND(CW15*VLOOKUP($A15,'Present Values'!$A:$F,4)/VLOOKUP($A15,'Present Values'!$A:$F,2),2)</f>
        <v>0</v>
      </c>
      <c r="HA15" s="3">
        <f>NPV(Assumptions!$C$9, DD15:GY15)*(1+Assumptions!$C$9)</f>
        <v>5382.278204465515</v>
      </c>
      <c r="HB15" s="12">
        <f>'Present Values'!D15</f>
        <v>5382.28</v>
      </c>
      <c r="HD15" s="3">
        <f>NPV(Assumptions!$C$9+0.01,Payouts!$B15:$CW15)*(1.01+Assumptions!$C$9)</f>
        <v>45267.904510728295</v>
      </c>
      <c r="HE15" s="3">
        <f>NPV(Assumptions!$C$9-0.01,Payouts!$B15:$CW15)*(0.99+Assumptions!$C$9)</f>
        <v>118556.3402234338</v>
      </c>
      <c r="HG15" s="3">
        <f>IF(AND(AMMset!D12&gt;0,'Present Values'!F15&gt;0),NPV(Assumptions!$C$9+0.01,Payouts!$DD15:$GY15)*(1.01+Assumptions!$C$9)/AMMset!D12, 0)</f>
        <v>1676.5868376010715</v>
      </c>
      <c r="HH15" s="3">
        <f>IF(AND(AMMset!D12&gt;0,'Present Values'!F15&gt;0),NPV(Assumptions!$C$9-0.01,Payouts!$DD15:$GY15)*(0.99+Assumptions!$C$9)/AMMset!D12, 0)</f>
        <v>4390.9710635861538</v>
      </c>
      <c r="HJ15" s="12">
        <v>3475.92</v>
      </c>
      <c r="HK15" s="12">
        <v>7176.47</v>
      </c>
      <c r="HM15" s="12">
        <v>4787.0200000000004</v>
      </c>
      <c r="HN15" s="12">
        <v>11778.5</v>
      </c>
    </row>
    <row r="16" spans="1:222" x14ac:dyDescent="0.25">
      <c r="A16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185.73</v>
      </c>
      <c r="AF16">
        <v>368.21</v>
      </c>
      <c r="AG16">
        <v>612.53</v>
      </c>
      <c r="AH16">
        <v>855.69</v>
      </c>
      <c r="AI16">
        <v>1226.5899999999999</v>
      </c>
      <c r="AJ16">
        <v>1834.42</v>
      </c>
      <c r="AK16">
        <v>2368.06</v>
      </c>
      <c r="AL16">
        <v>3082.49</v>
      </c>
      <c r="AM16">
        <v>3925.37</v>
      </c>
      <c r="AN16">
        <v>4950.95</v>
      </c>
      <c r="AO16">
        <v>6580.15</v>
      </c>
      <c r="AP16">
        <v>8481.36</v>
      </c>
      <c r="AQ16">
        <v>11175.78</v>
      </c>
      <c r="AR16">
        <v>13415.28</v>
      </c>
      <c r="AS16">
        <v>6247.34</v>
      </c>
      <c r="AT16">
        <v>6981.61</v>
      </c>
      <c r="AU16">
        <v>7509.43</v>
      </c>
      <c r="AV16">
        <v>8036.16</v>
      </c>
      <c r="AW16">
        <v>8479.02</v>
      </c>
      <c r="AX16">
        <v>8913.5400000000009</v>
      </c>
      <c r="AY16">
        <v>9338.07</v>
      </c>
      <c r="AZ16">
        <v>9838.52</v>
      </c>
      <c r="BA16">
        <v>10210.14</v>
      </c>
      <c r="BB16">
        <v>10577.59</v>
      </c>
      <c r="BC16">
        <v>10936.73</v>
      </c>
      <c r="BD16">
        <v>11283.83</v>
      </c>
      <c r="BE16">
        <v>11614.09</v>
      </c>
      <c r="BF16">
        <v>11918.86</v>
      </c>
      <c r="BG16">
        <v>12189.11</v>
      </c>
      <c r="BH16">
        <v>12414.7</v>
      </c>
      <c r="BI16">
        <v>12586.84</v>
      </c>
      <c r="BJ16">
        <v>12694.7</v>
      </c>
      <c r="BK16">
        <v>12727.68</v>
      </c>
      <c r="BL16">
        <v>12677.64</v>
      </c>
      <c r="BM16">
        <v>12539.51</v>
      </c>
      <c r="BN16">
        <v>12307.24</v>
      </c>
      <c r="BO16">
        <v>11975.53</v>
      </c>
      <c r="BP16">
        <v>11518.33</v>
      </c>
      <c r="BQ16">
        <v>10930.46</v>
      </c>
      <c r="BR16">
        <v>10213.799999999999</v>
      </c>
      <c r="BS16">
        <v>9377.5400000000009</v>
      </c>
      <c r="BT16">
        <v>8441.56</v>
      </c>
      <c r="BU16">
        <v>7437.18</v>
      </c>
      <c r="BV16">
        <v>6403.07</v>
      </c>
      <c r="BW16">
        <v>5378.93</v>
      </c>
      <c r="BX16">
        <v>4401.12</v>
      </c>
      <c r="BY16">
        <v>3500.64</v>
      </c>
      <c r="BZ16">
        <v>2701.11</v>
      </c>
      <c r="CA16">
        <v>2033.78</v>
      </c>
      <c r="CB16">
        <v>1480.24</v>
      </c>
      <c r="CC16">
        <v>1053.55</v>
      </c>
      <c r="CD16">
        <v>710.87</v>
      </c>
      <c r="CE16">
        <v>452.11</v>
      </c>
      <c r="CF16">
        <v>259.83</v>
      </c>
      <c r="CG16">
        <v>131.38</v>
      </c>
      <c r="CH16">
        <v>57.49</v>
      </c>
      <c r="CI16">
        <v>21.54</v>
      </c>
      <c r="CJ16">
        <v>6.58</v>
      </c>
      <c r="CK16">
        <v>1.51</v>
      </c>
      <c r="CL16">
        <v>0.22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Y16" s="3">
        <f>NPV(Assumptions!$C$9, B16:CW16)*(1+Assumptions!$C$9)</f>
        <v>52192.748235459883</v>
      </c>
      <c r="CZ16" s="12">
        <f>'Present Values'!B16</f>
        <v>52192.75</v>
      </c>
      <c r="DD16">
        <f>ROUND(B16*VLOOKUP($A16,'Present Values'!$A:$F,4)/VLOOKUP($A16,'Present Values'!$A:$F,2),2)</f>
        <v>0</v>
      </c>
      <c r="DE16">
        <f>ROUND(C16*VLOOKUP($A16,'Present Values'!$A:$F,4)/VLOOKUP($A16,'Present Values'!$A:$F,2),2)</f>
        <v>0</v>
      </c>
      <c r="DF16">
        <f>ROUND(D16*VLOOKUP($A16,'Present Values'!$A:$F,4)/VLOOKUP($A16,'Present Values'!$A:$F,2),2)</f>
        <v>0</v>
      </c>
      <c r="DG16">
        <f>ROUND(E16*VLOOKUP($A16,'Present Values'!$A:$F,4)/VLOOKUP($A16,'Present Values'!$A:$F,2),2)</f>
        <v>0</v>
      </c>
      <c r="DH16">
        <f>ROUND(F16*VLOOKUP($A16,'Present Values'!$A:$F,4)/VLOOKUP($A16,'Present Values'!$A:$F,2),2)</f>
        <v>0</v>
      </c>
      <c r="DI16">
        <f>ROUND(G16*VLOOKUP($A16,'Present Values'!$A:$F,4)/VLOOKUP($A16,'Present Values'!$A:$F,2),2)</f>
        <v>0</v>
      </c>
      <c r="DJ16">
        <f>ROUND(H16*VLOOKUP($A16,'Present Values'!$A:$F,4)/VLOOKUP($A16,'Present Values'!$A:$F,2),2)</f>
        <v>0</v>
      </c>
      <c r="DK16">
        <f>ROUND(I16*VLOOKUP($A16,'Present Values'!$A:$F,4)/VLOOKUP($A16,'Present Values'!$A:$F,2),2)</f>
        <v>0</v>
      </c>
      <c r="DL16">
        <f>ROUND(J16*VLOOKUP($A16,'Present Values'!$A:$F,4)/VLOOKUP($A16,'Present Values'!$A:$F,2),2)</f>
        <v>0</v>
      </c>
      <c r="DM16">
        <f>ROUND(K16*VLOOKUP($A16,'Present Values'!$A:$F,4)/VLOOKUP($A16,'Present Values'!$A:$F,2),2)</f>
        <v>0</v>
      </c>
      <c r="DN16">
        <f>ROUND(L16*VLOOKUP($A16,'Present Values'!$A:$F,4)/VLOOKUP($A16,'Present Values'!$A:$F,2),2)</f>
        <v>0</v>
      </c>
      <c r="DO16">
        <f>ROUND(M16*VLOOKUP($A16,'Present Values'!$A:$F,4)/VLOOKUP($A16,'Present Values'!$A:$F,2),2)</f>
        <v>0</v>
      </c>
      <c r="DP16">
        <f>ROUND(N16*VLOOKUP($A16,'Present Values'!$A:$F,4)/VLOOKUP($A16,'Present Values'!$A:$F,2),2)</f>
        <v>0</v>
      </c>
      <c r="DQ16">
        <f>ROUND(O16*VLOOKUP($A16,'Present Values'!$A:$F,4)/VLOOKUP($A16,'Present Values'!$A:$F,2),2)</f>
        <v>0</v>
      </c>
      <c r="DR16">
        <f>ROUND(P16*VLOOKUP($A16,'Present Values'!$A:$F,4)/VLOOKUP($A16,'Present Values'!$A:$F,2),2)</f>
        <v>0</v>
      </c>
      <c r="DS16">
        <f>ROUND(Q16*VLOOKUP($A16,'Present Values'!$A:$F,4)/VLOOKUP($A16,'Present Values'!$A:$F,2),2)</f>
        <v>0</v>
      </c>
      <c r="DT16">
        <f>ROUND(R16*VLOOKUP($A16,'Present Values'!$A:$F,4)/VLOOKUP($A16,'Present Values'!$A:$F,2),2)</f>
        <v>0</v>
      </c>
      <c r="DU16">
        <f>ROUND(S16*VLOOKUP($A16,'Present Values'!$A:$F,4)/VLOOKUP($A16,'Present Values'!$A:$F,2),2)</f>
        <v>0</v>
      </c>
      <c r="DV16">
        <f>ROUND(T16*VLOOKUP($A16,'Present Values'!$A:$F,4)/VLOOKUP($A16,'Present Values'!$A:$F,2),2)</f>
        <v>0</v>
      </c>
      <c r="DW16">
        <f>ROUND(U16*VLOOKUP($A16,'Present Values'!$A:$F,4)/VLOOKUP($A16,'Present Values'!$A:$F,2),2)</f>
        <v>0</v>
      </c>
      <c r="DX16">
        <f>ROUND(V16*VLOOKUP($A16,'Present Values'!$A:$F,4)/VLOOKUP($A16,'Present Values'!$A:$F,2),2)</f>
        <v>0</v>
      </c>
      <c r="DY16">
        <f>ROUND(W16*VLOOKUP($A16,'Present Values'!$A:$F,4)/VLOOKUP($A16,'Present Values'!$A:$F,2),2)</f>
        <v>0</v>
      </c>
      <c r="DZ16">
        <f>ROUND(X16*VLOOKUP($A16,'Present Values'!$A:$F,4)/VLOOKUP($A16,'Present Values'!$A:$F,2),2)</f>
        <v>0</v>
      </c>
      <c r="EA16">
        <f>ROUND(Y16*VLOOKUP($A16,'Present Values'!$A:$F,4)/VLOOKUP($A16,'Present Values'!$A:$F,2),2)</f>
        <v>0</v>
      </c>
      <c r="EB16">
        <f>ROUND(Z16*VLOOKUP($A16,'Present Values'!$A:$F,4)/VLOOKUP($A16,'Present Values'!$A:$F,2),2)</f>
        <v>0</v>
      </c>
      <c r="EC16">
        <f>ROUND(AA16*VLOOKUP($A16,'Present Values'!$A:$F,4)/VLOOKUP($A16,'Present Values'!$A:$F,2),2)</f>
        <v>0</v>
      </c>
      <c r="ED16">
        <f>ROUND(AB16*VLOOKUP($A16,'Present Values'!$A:$F,4)/VLOOKUP($A16,'Present Values'!$A:$F,2),2)</f>
        <v>0</v>
      </c>
      <c r="EE16">
        <f>ROUND(AC16*VLOOKUP($A16,'Present Values'!$A:$F,4)/VLOOKUP($A16,'Present Values'!$A:$F,2),2)</f>
        <v>0</v>
      </c>
      <c r="EF16">
        <f>ROUND(AD16*VLOOKUP($A16,'Present Values'!$A:$F,4)/VLOOKUP($A16,'Present Values'!$A:$F,2),2)</f>
        <v>0</v>
      </c>
      <c r="EG16">
        <f>ROUND(AE16*VLOOKUP($A16,'Present Values'!$A:$F,4)/VLOOKUP($A16,'Present Values'!$A:$F,2),2)</f>
        <v>6.4</v>
      </c>
      <c r="EH16">
        <f>ROUND(AF16*VLOOKUP($A16,'Present Values'!$A:$F,4)/VLOOKUP($A16,'Present Values'!$A:$F,2),2)</f>
        <v>12.7</v>
      </c>
      <c r="EI16">
        <f>ROUND(AG16*VLOOKUP($A16,'Present Values'!$A:$F,4)/VLOOKUP($A16,'Present Values'!$A:$F,2),2)</f>
        <v>21.12</v>
      </c>
      <c r="EJ16">
        <f>ROUND(AH16*VLOOKUP($A16,'Present Values'!$A:$F,4)/VLOOKUP($A16,'Present Values'!$A:$F,2),2)</f>
        <v>29.51</v>
      </c>
      <c r="EK16">
        <f>ROUND(AI16*VLOOKUP($A16,'Present Values'!$A:$F,4)/VLOOKUP($A16,'Present Values'!$A:$F,2),2)</f>
        <v>42.3</v>
      </c>
      <c r="EL16">
        <f>ROUND(AJ16*VLOOKUP($A16,'Present Values'!$A:$F,4)/VLOOKUP($A16,'Present Values'!$A:$F,2),2)</f>
        <v>63.26</v>
      </c>
      <c r="EM16">
        <f>ROUND(AK16*VLOOKUP($A16,'Present Values'!$A:$F,4)/VLOOKUP($A16,'Present Values'!$A:$F,2),2)</f>
        <v>81.66</v>
      </c>
      <c r="EN16">
        <f>ROUND(AL16*VLOOKUP($A16,'Present Values'!$A:$F,4)/VLOOKUP($A16,'Present Values'!$A:$F,2),2)</f>
        <v>106.29</v>
      </c>
      <c r="EO16">
        <f>ROUND(AM16*VLOOKUP($A16,'Present Values'!$A:$F,4)/VLOOKUP($A16,'Present Values'!$A:$F,2),2)</f>
        <v>135.36000000000001</v>
      </c>
      <c r="EP16">
        <f>ROUND(AN16*VLOOKUP($A16,'Present Values'!$A:$F,4)/VLOOKUP($A16,'Present Values'!$A:$F,2),2)</f>
        <v>170.72</v>
      </c>
      <c r="EQ16">
        <f>ROUND(AO16*VLOOKUP($A16,'Present Values'!$A:$F,4)/VLOOKUP($A16,'Present Values'!$A:$F,2),2)</f>
        <v>226.9</v>
      </c>
      <c r="ER16">
        <f>ROUND(AP16*VLOOKUP($A16,'Present Values'!$A:$F,4)/VLOOKUP($A16,'Present Values'!$A:$F,2),2)</f>
        <v>292.45999999999998</v>
      </c>
      <c r="ES16">
        <f>ROUND(AQ16*VLOOKUP($A16,'Present Values'!$A:$F,4)/VLOOKUP($A16,'Present Values'!$A:$F,2),2)</f>
        <v>385.37</v>
      </c>
      <c r="ET16">
        <f>ROUND(AR16*VLOOKUP($A16,'Present Values'!$A:$F,4)/VLOOKUP($A16,'Present Values'!$A:$F,2),2)</f>
        <v>462.6</v>
      </c>
      <c r="EU16">
        <f>ROUND(AS16*VLOOKUP($A16,'Present Values'!$A:$F,4)/VLOOKUP($A16,'Present Values'!$A:$F,2),2)</f>
        <v>215.43</v>
      </c>
      <c r="EV16">
        <f>ROUND(AT16*VLOOKUP($A16,'Present Values'!$A:$F,4)/VLOOKUP($A16,'Present Values'!$A:$F,2),2)</f>
        <v>240.75</v>
      </c>
      <c r="EW16">
        <f>ROUND(AU16*VLOOKUP($A16,'Present Values'!$A:$F,4)/VLOOKUP($A16,'Present Values'!$A:$F,2),2)</f>
        <v>258.95</v>
      </c>
      <c r="EX16">
        <f>ROUND(AV16*VLOOKUP($A16,'Present Values'!$A:$F,4)/VLOOKUP($A16,'Present Values'!$A:$F,2),2)</f>
        <v>277.11</v>
      </c>
      <c r="EY16">
        <f>ROUND(AW16*VLOOKUP($A16,'Present Values'!$A:$F,4)/VLOOKUP($A16,'Present Values'!$A:$F,2),2)</f>
        <v>292.38</v>
      </c>
      <c r="EZ16">
        <f>ROUND(AX16*VLOOKUP($A16,'Present Values'!$A:$F,4)/VLOOKUP($A16,'Present Values'!$A:$F,2),2)</f>
        <v>307.36</v>
      </c>
      <c r="FA16">
        <f>ROUND(AY16*VLOOKUP($A16,'Present Values'!$A:$F,4)/VLOOKUP($A16,'Present Values'!$A:$F,2),2)</f>
        <v>322</v>
      </c>
      <c r="FB16">
        <f>ROUND(AZ16*VLOOKUP($A16,'Present Values'!$A:$F,4)/VLOOKUP($A16,'Present Values'!$A:$F,2),2)</f>
        <v>339.26</v>
      </c>
      <c r="FC16">
        <f>ROUND(BA16*VLOOKUP($A16,'Present Values'!$A:$F,4)/VLOOKUP($A16,'Present Values'!$A:$F,2),2)</f>
        <v>352.07</v>
      </c>
      <c r="FD16">
        <f>ROUND(BB16*VLOOKUP($A16,'Present Values'!$A:$F,4)/VLOOKUP($A16,'Present Values'!$A:$F,2),2)</f>
        <v>364.74</v>
      </c>
      <c r="FE16">
        <f>ROUND(BC16*VLOOKUP($A16,'Present Values'!$A:$F,4)/VLOOKUP($A16,'Present Values'!$A:$F,2),2)</f>
        <v>377.13</v>
      </c>
      <c r="FF16">
        <f>ROUND(BD16*VLOOKUP($A16,'Present Values'!$A:$F,4)/VLOOKUP($A16,'Present Values'!$A:$F,2),2)</f>
        <v>389.1</v>
      </c>
      <c r="FG16">
        <f>ROUND(BE16*VLOOKUP($A16,'Present Values'!$A:$F,4)/VLOOKUP($A16,'Present Values'!$A:$F,2),2)</f>
        <v>400.49</v>
      </c>
      <c r="FH16">
        <f>ROUND(BF16*VLOOKUP($A16,'Present Values'!$A:$F,4)/VLOOKUP($A16,'Present Values'!$A:$F,2),2)</f>
        <v>411</v>
      </c>
      <c r="FI16">
        <f>ROUND(BG16*VLOOKUP($A16,'Present Values'!$A:$F,4)/VLOOKUP($A16,'Present Values'!$A:$F,2),2)</f>
        <v>420.31</v>
      </c>
      <c r="FJ16">
        <f>ROUND(BH16*VLOOKUP($A16,'Present Values'!$A:$F,4)/VLOOKUP($A16,'Present Values'!$A:$F,2),2)</f>
        <v>428.09</v>
      </c>
      <c r="FK16">
        <f>ROUND(BI16*VLOOKUP($A16,'Present Values'!$A:$F,4)/VLOOKUP($A16,'Present Values'!$A:$F,2),2)</f>
        <v>434.03</v>
      </c>
      <c r="FL16">
        <f>ROUND(BJ16*VLOOKUP($A16,'Present Values'!$A:$F,4)/VLOOKUP($A16,'Present Values'!$A:$F,2),2)</f>
        <v>437.75</v>
      </c>
      <c r="FM16">
        <f>ROUND(BK16*VLOOKUP($A16,'Present Values'!$A:$F,4)/VLOOKUP($A16,'Present Values'!$A:$F,2),2)</f>
        <v>438.89</v>
      </c>
      <c r="FN16">
        <f>ROUND(BL16*VLOOKUP($A16,'Present Values'!$A:$F,4)/VLOOKUP($A16,'Present Values'!$A:$F,2),2)</f>
        <v>437.16</v>
      </c>
      <c r="FO16">
        <f>ROUND(BM16*VLOOKUP($A16,'Present Values'!$A:$F,4)/VLOOKUP($A16,'Present Values'!$A:$F,2),2)</f>
        <v>432.4</v>
      </c>
      <c r="FP16">
        <f>ROUND(BN16*VLOOKUP($A16,'Present Values'!$A:$F,4)/VLOOKUP($A16,'Present Values'!$A:$F,2),2)</f>
        <v>424.39</v>
      </c>
      <c r="FQ16">
        <f>ROUND(BO16*VLOOKUP($A16,'Present Values'!$A:$F,4)/VLOOKUP($A16,'Present Values'!$A:$F,2),2)</f>
        <v>412.95</v>
      </c>
      <c r="FR16">
        <f>ROUND(BP16*VLOOKUP($A16,'Present Values'!$A:$F,4)/VLOOKUP($A16,'Present Values'!$A:$F,2),2)</f>
        <v>397.18</v>
      </c>
      <c r="FS16">
        <f>ROUND(BQ16*VLOOKUP($A16,'Present Values'!$A:$F,4)/VLOOKUP($A16,'Present Values'!$A:$F,2),2)</f>
        <v>376.91</v>
      </c>
      <c r="FT16">
        <f>ROUND(BR16*VLOOKUP($A16,'Present Values'!$A:$F,4)/VLOOKUP($A16,'Present Values'!$A:$F,2),2)</f>
        <v>352.2</v>
      </c>
      <c r="FU16">
        <f>ROUND(BS16*VLOOKUP($A16,'Present Values'!$A:$F,4)/VLOOKUP($A16,'Present Values'!$A:$F,2),2)</f>
        <v>323.36</v>
      </c>
      <c r="FV16">
        <f>ROUND(BT16*VLOOKUP($A16,'Present Values'!$A:$F,4)/VLOOKUP($A16,'Present Values'!$A:$F,2),2)</f>
        <v>291.08999999999997</v>
      </c>
      <c r="FW16">
        <f>ROUND(BU16*VLOOKUP($A16,'Present Values'!$A:$F,4)/VLOOKUP($A16,'Present Values'!$A:$F,2),2)</f>
        <v>256.45</v>
      </c>
      <c r="FX16">
        <f>ROUND(BV16*VLOOKUP($A16,'Present Values'!$A:$F,4)/VLOOKUP($A16,'Present Values'!$A:$F,2),2)</f>
        <v>220.8</v>
      </c>
      <c r="FY16">
        <f>ROUND(BW16*VLOOKUP($A16,'Present Values'!$A:$F,4)/VLOOKUP($A16,'Present Values'!$A:$F,2),2)</f>
        <v>185.48</v>
      </c>
      <c r="FZ16">
        <f>ROUND(BX16*VLOOKUP($A16,'Present Values'!$A:$F,4)/VLOOKUP($A16,'Present Values'!$A:$F,2),2)</f>
        <v>151.76</v>
      </c>
      <c r="GA16">
        <f>ROUND(BY16*VLOOKUP($A16,'Present Values'!$A:$F,4)/VLOOKUP($A16,'Present Values'!$A:$F,2),2)</f>
        <v>120.71</v>
      </c>
      <c r="GB16">
        <f>ROUND(BZ16*VLOOKUP($A16,'Present Values'!$A:$F,4)/VLOOKUP($A16,'Present Values'!$A:$F,2),2)</f>
        <v>93.14</v>
      </c>
      <c r="GC16">
        <f>ROUND(CA16*VLOOKUP($A16,'Present Values'!$A:$F,4)/VLOOKUP($A16,'Present Values'!$A:$F,2),2)</f>
        <v>70.13</v>
      </c>
      <c r="GD16">
        <f>ROUND(CB16*VLOOKUP($A16,'Present Values'!$A:$F,4)/VLOOKUP($A16,'Present Values'!$A:$F,2),2)</f>
        <v>51.04</v>
      </c>
      <c r="GE16">
        <f>ROUND(CC16*VLOOKUP($A16,'Present Values'!$A:$F,4)/VLOOKUP($A16,'Present Values'!$A:$F,2),2)</f>
        <v>36.33</v>
      </c>
      <c r="GF16">
        <f>ROUND(CD16*VLOOKUP($A16,'Present Values'!$A:$F,4)/VLOOKUP($A16,'Present Values'!$A:$F,2),2)</f>
        <v>24.51</v>
      </c>
      <c r="GG16">
        <f>ROUND(CE16*VLOOKUP($A16,'Present Values'!$A:$F,4)/VLOOKUP($A16,'Present Values'!$A:$F,2),2)</f>
        <v>15.59</v>
      </c>
      <c r="GH16">
        <f>ROUND(CF16*VLOOKUP($A16,'Present Values'!$A:$F,4)/VLOOKUP($A16,'Present Values'!$A:$F,2),2)</f>
        <v>8.9600000000000009</v>
      </c>
      <c r="GI16">
        <f>ROUND(CG16*VLOOKUP($A16,'Present Values'!$A:$F,4)/VLOOKUP($A16,'Present Values'!$A:$F,2),2)</f>
        <v>4.53</v>
      </c>
      <c r="GJ16">
        <f>ROUND(CH16*VLOOKUP($A16,'Present Values'!$A:$F,4)/VLOOKUP($A16,'Present Values'!$A:$F,2),2)</f>
        <v>1.98</v>
      </c>
      <c r="GK16">
        <f>ROUND(CI16*VLOOKUP($A16,'Present Values'!$A:$F,4)/VLOOKUP($A16,'Present Values'!$A:$F,2),2)</f>
        <v>0.74</v>
      </c>
      <c r="GL16">
        <f>ROUND(CJ16*VLOOKUP($A16,'Present Values'!$A:$F,4)/VLOOKUP($A16,'Present Values'!$A:$F,2),2)</f>
        <v>0.23</v>
      </c>
      <c r="GM16">
        <f>ROUND(CK16*VLOOKUP($A16,'Present Values'!$A:$F,4)/VLOOKUP($A16,'Present Values'!$A:$F,2),2)</f>
        <v>0.05</v>
      </c>
      <c r="GN16">
        <f>ROUND(CL16*VLOOKUP($A16,'Present Values'!$A:$F,4)/VLOOKUP($A16,'Present Values'!$A:$F,2),2)</f>
        <v>0.01</v>
      </c>
      <c r="GO16">
        <f>ROUND(CM16*VLOOKUP($A16,'Present Values'!$A:$F,4)/VLOOKUP($A16,'Present Values'!$A:$F,2),2)</f>
        <v>0</v>
      </c>
      <c r="GP16">
        <f>ROUND(CN16*VLOOKUP($A16,'Present Values'!$A:$F,4)/VLOOKUP($A16,'Present Values'!$A:$F,2),2)</f>
        <v>0</v>
      </c>
      <c r="GQ16">
        <f>ROUND(CO16*VLOOKUP($A16,'Present Values'!$A:$F,4)/VLOOKUP($A16,'Present Values'!$A:$F,2),2)</f>
        <v>0</v>
      </c>
      <c r="GR16">
        <f>ROUND(CP16*VLOOKUP($A16,'Present Values'!$A:$F,4)/VLOOKUP($A16,'Present Values'!$A:$F,2),2)</f>
        <v>0</v>
      </c>
      <c r="GS16">
        <f>ROUND(CQ16*VLOOKUP($A16,'Present Values'!$A:$F,4)/VLOOKUP($A16,'Present Values'!$A:$F,2),2)</f>
        <v>0</v>
      </c>
      <c r="GT16">
        <f>ROUND(CR16*VLOOKUP($A16,'Present Values'!$A:$F,4)/VLOOKUP($A16,'Present Values'!$A:$F,2),2)</f>
        <v>0</v>
      </c>
      <c r="GU16">
        <f>ROUND(CS16*VLOOKUP($A16,'Present Values'!$A:$F,4)/VLOOKUP($A16,'Present Values'!$A:$F,2),2)</f>
        <v>0</v>
      </c>
      <c r="GV16">
        <f>ROUND(CT16*VLOOKUP($A16,'Present Values'!$A:$F,4)/VLOOKUP($A16,'Present Values'!$A:$F,2),2)</f>
        <v>0</v>
      </c>
      <c r="GW16">
        <f>ROUND(CU16*VLOOKUP($A16,'Present Values'!$A:$F,4)/VLOOKUP($A16,'Present Values'!$A:$F,2),2)</f>
        <v>0</v>
      </c>
      <c r="GX16">
        <f>ROUND(CV16*VLOOKUP($A16,'Present Values'!$A:$F,4)/VLOOKUP($A16,'Present Values'!$A:$F,2),2)</f>
        <v>0</v>
      </c>
      <c r="GY16">
        <f>ROUND(CW16*VLOOKUP($A16,'Present Values'!$A:$F,4)/VLOOKUP($A16,'Present Values'!$A:$F,2),2)</f>
        <v>0</v>
      </c>
      <c r="HA16" s="3">
        <f>NPV(Assumptions!$C$9, DD16:GY16)*(1+Assumptions!$C$9)</f>
        <v>1799.7536173759011</v>
      </c>
      <c r="HB16" s="12">
        <f>'Present Values'!D16</f>
        <v>1799.75</v>
      </c>
      <c r="HD16" s="3">
        <f>NPV(Assumptions!$C$9+0.01,Payouts!$B16:$CW16)*(1.01+Assumptions!$C$9)</f>
        <v>31962.19116685983</v>
      </c>
      <c r="HE16" s="3">
        <f>NPV(Assumptions!$C$9-0.01,Payouts!$B16:$CW16)*(0.99+Assumptions!$C$9)</f>
        <v>86560.754759066491</v>
      </c>
      <c r="HG16" s="3">
        <f>IF(AND(AMMset!D13&gt;0,'Present Values'!F16&gt;0),NPV(Assumptions!$C$9+0.01,Payouts!$DD16:$GY16)*(1.01+Assumptions!$C$9)/AMMset!D13, 0)</f>
        <v>1102.147187326013</v>
      </c>
      <c r="HH16" s="3">
        <f>IF(AND(AMMset!D13&gt;0,'Present Values'!F16&gt;0),NPV(Assumptions!$C$9-0.01,Payouts!$DD16:$GY16)*(0.99+Assumptions!$C$9)/AMMset!D13, 0)</f>
        <v>2984.8585640840206</v>
      </c>
      <c r="HJ16" s="12">
        <v>2851.12</v>
      </c>
      <c r="HK16" s="12">
        <v>6071.43</v>
      </c>
      <c r="HM16" s="12">
        <v>1966.51</v>
      </c>
      <c r="HN16" s="12">
        <v>4888.7299999999996</v>
      </c>
    </row>
    <row r="17" spans="1:222" x14ac:dyDescent="0.25">
      <c r="A17">
        <v>13</v>
      </c>
      <c r="B17">
        <v>10190</v>
      </c>
      <c r="C17">
        <v>10703.58</v>
      </c>
      <c r="D17">
        <v>11241.23</v>
      </c>
      <c r="E17">
        <v>11804.24</v>
      </c>
      <c r="F17">
        <v>12391.7</v>
      </c>
      <c r="G17">
        <v>5355.62</v>
      </c>
      <c r="H17">
        <v>5616.95</v>
      </c>
      <c r="I17">
        <v>5887.49</v>
      </c>
      <c r="J17">
        <v>6166.52</v>
      </c>
      <c r="K17">
        <v>6453.31</v>
      </c>
      <c r="L17">
        <v>6747.16</v>
      </c>
      <c r="M17">
        <v>7047.57</v>
      </c>
      <c r="N17">
        <v>7353.26</v>
      </c>
      <c r="O17">
        <v>7662.26</v>
      </c>
      <c r="P17">
        <v>7972.3</v>
      </c>
      <c r="Q17">
        <v>8280.99</v>
      </c>
      <c r="R17">
        <v>8586.01</v>
      </c>
      <c r="S17">
        <v>8884.59</v>
      </c>
      <c r="T17">
        <v>9173.69</v>
      </c>
      <c r="U17">
        <v>9450.0300000000007</v>
      </c>
      <c r="V17">
        <v>9709.4699999999993</v>
      </c>
      <c r="W17">
        <v>9946.23</v>
      </c>
      <c r="X17">
        <v>10152.86</v>
      </c>
      <c r="Y17">
        <v>10320.85</v>
      </c>
      <c r="Z17">
        <v>10441.52</v>
      </c>
      <c r="AA17">
        <v>10505.22</v>
      </c>
      <c r="AB17">
        <v>10501.93</v>
      </c>
      <c r="AC17">
        <v>10421.85</v>
      </c>
      <c r="AD17">
        <v>10255.86</v>
      </c>
      <c r="AE17">
        <v>9996.64</v>
      </c>
      <c r="AF17">
        <v>9639.56</v>
      </c>
      <c r="AG17">
        <v>9164.26</v>
      </c>
      <c r="AH17">
        <v>8574.81</v>
      </c>
      <c r="AI17">
        <v>7882.51</v>
      </c>
      <c r="AJ17">
        <v>7104.65</v>
      </c>
      <c r="AK17">
        <v>6263.24</v>
      </c>
      <c r="AL17">
        <v>5386.01</v>
      </c>
      <c r="AM17">
        <v>4507.04</v>
      </c>
      <c r="AN17">
        <v>3663.29</v>
      </c>
      <c r="AO17">
        <v>2908.28</v>
      </c>
      <c r="AP17">
        <v>2240.33</v>
      </c>
      <c r="AQ17">
        <v>1654.09</v>
      </c>
      <c r="AR17">
        <v>1159.05</v>
      </c>
      <c r="AS17">
        <v>766.92</v>
      </c>
      <c r="AT17">
        <v>461.14</v>
      </c>
      <c r="AU17">
        <v>245.76</v>
      </c>
      <c r="AV17">
        <v>113.84</v>
      </c>
      <c r="AW17">
        <v>45.25</v>
      </c>
      <c r="AX17">
        <v>14.68</v>
      </c>
      <c r="AY17">
        <v>3.57</v>
      </c>
      <c r="AZ17">
        <v>0.55000000000000004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Y17" s="3">
        <f>NPV(Assumptions!$C$9, B17:CW17)*(1+Assumptions!$C$9)</f>
        <v>183157.69885802988</v>
      </c>
      <c r="CZ17" s="12">
        <f>'Present Values'!B17</f>
        <v>183157.67</v>
      </c>
      <c r="DD17">
        <f>ROUND(B17*VLOOKUP($A17,'Present Values'!$A:$F,4)/VLOOKUP($A17,'Present Values'!$A:$F,2),2)</f>
        <v>10190</v>
      </c>
      <c r="DE17">
        <f>ROUND(C17*VLOOKUP($A17,'Present Values'!$A:$F,4)/VLOOKUP($A17,'Present Values'!$A:$F,2),2)</f>
        <v>10703.58</v>
      </c>
      <c r="DF17">
        <f>ROUND(D17*VLOOKUP($A17,'Present Values'!$A:$F,4)/VLOOKUP($A17,'Present Values'!$A:$F,2),2)</f>
        <v>11241.23</v>
      </c>
      <c r="DG17">
        <f>ROUND(E17*VLOOKUP($A17,'Present Values'!$A:$F,4)/VLOOKUP($A17,'Present Values'!$A:$F,2),2)</f>
        <v>11804.24</v>
      </c>
      <c r="DH17">
        <f>ROUND(F17*VLOOKUP($A17,'Present Values'!$A:$F,4)/VLOOKUP($A17,'Present Values'!$A:$F,2),2)</f>
        <v>12391.7</v>
      </c>
      <c r="DI17">
        <f>ROUND(G17*VLOOKUP($A17,'Present Values'!$A:$F,4)/VLOOKUP($A17,'Present Values'!$A:$F,2),2)</f>
        <v>5355.62</v>
      </c>
      <c r="DJ17">
        <f>ROUND(H17*VLOOKUP($A17,'Present Values'!$A:$F,4)/VLOOKUP($A17,'Present Values'!$A:$F,2),2)</f>
        <v>5616.95</v>
      </c>
      <c r="DK17">
        <f>ROUND(I17*VLOOKUP($A17,'Present Values'!$A:$F,4)/VLOOKUP($A17,'Present Values'!$A:$F,2),2)</f>
        <v>5887.49</v>
      </c>
      <c r="DL17">
        <f>ROUND(J17*VLOOKUP($A17,'Present Values'!$A:$F,4)/VLOOKUP($A17,'Present Values'!$A:$F,2),2)</f>
        <v>6166.52</v>
      </c>
      <c r="DM17">
        <f>ROUND(K17*VLOOKUP($A17,'Present Values'!$A:$F,4)/VLOOKUP($A17,'Present Values'!$A:$F,2),2)</f>
        <v>6453.31</v>
      </c>
      <c r="DN17">
        <f>ROUND(L17*VLOOKUP($A17,'Present Values'!$A:$F,4)/VLOOKUP($A17,'Present Values'!$A:$F,2),2)</f>
        <v>6747.16</v>
      </c>
      <c r="DO17">
        <f>ROUND(M17*VLOOKUP($A17,'Present Values'!$A:$F,4)/VLOOKUP($A17,'Present Values'!$A:$F,2),2)</f>
        <v>7047.57</v>
      </c>
      <c r="DP17">
        <f>ROUND(N17*VLOOKUP($A17,'Present Values'!$A:$F,4)/VLOOKUP($A17,'Present Values'!$A:$F,2),2)</f>
        <v>7353.26</v>
      </c>
      <c r="DQ17">
        <f>ROUND(O17*VLOOKUP($A17,'Present Values'!$A:$F,4)/VLOOKUP($A17,'Present Values'!$A:$F,2),2)</f>
        <v>7662.26</v>
      </c>
      <c r="DR17">
        <f>ROUND(P17*VLOOKUP($A17,'Present Values'!$A:$F,4)/VLOOKUP($A17,'Present Values'!$A:$F,2),2)</f>
        <v>7972.3</v>
      </c>
      <c r="DS17">
        <f>ROUND(Q17*VLOOKUP($A17,'Present Values'!$A:$F,4)/VLOOKUP($A17,'Present Values'!$A:$F,2),2)</f>
        <v>8280.99</v>
      </c>
      <c r="DT17">
        <f>ROUND(R17*VLOOKUP($A17,'Present Values'!$A:$F,4)/VLOOKUP($A17,'Present Values'!$A:$F,2),2)</f>
        <v>8586.01</v>
      </c>
      <c r="DU17">
        <f>ROUND(S17*VLOOKUP($A17,'Present Values'!$A:$F,4)/VLOOKUP($A17,'Present Values'!$A:$F,2),2)</f>
        <v>8884.59</v>
      </c>
      <c r="DV17">
        <f>ROUND(T17*VLOOKUP($A17,'Present Values'!$A:$F,4)/VLOOKUP($A17,'Present Values'!$A:$F,2),2)</f>
        <v>9173.69</v>
      </c>
      <c r="DW17">
        <f>ROUND(U17*VLOOKUP($A17,'Present Values'!$A:$F,4)/VLOOKUP($A17,'Present Values'!$A:$F,2),2)</f>
        <v>9450.0300000000007</v>
      </c>
      <c r="DX17">
        <f>ROUND(V17*VLOOKUP($A17,'Present Values'!$A:$F,4)/VLOOKUP($A17,'Present Values'!$A:$F,2),2)</f>
        <v>9709.4699999999993</v>
      </c>
      <c r="DY17">
        <f>ROUND(W17*VLOOKUP($A17,'Present Values'!$A:$F,4)/VLOOKUP($A17,'Present Values'!$A:$F,2),2)</f>
        <v>9946.23</v>
      </c>
      <c r="DZ17">
        <f>ROUND(X17*VLOOKUP($A17,'Present Values'!$A:$F,4)/VLOOKUP($A17,'Present Values'!$A:$F,2),2)</f>
        <v>10152.86</v>
      </c>
      <c r="EA17">
        <f>ROUND(Y17*VLOOKUP($A17,'Present Values'!$A:$F,4)/VLOOKUP($A17,'Present Values'!$A:$F,2),2)</f>
        <v>10320.85</v>
      </c>
      <c r="EB17">
        <f>ROUND(Z17*VLOOKUP($A17,'Present Values'!$A:$F,4)/VLOOKUP($A17,'Present Values'!$A:$F,2),2)</f>
        <v>10441.52</v>
      </c>
      <c r="EC17">
        <f>ROUND(AA17*VLOOKUP($A17,'Present Values'!$A:$F,4)/VLOOKUP($A17,'Present Values'!$A:$F,2),2)</f>
        <v>10505.22</v>
      </c>
      <c r="ED17">
        <f>ROUND(AB17*VLOOKUP($A17,'Present Values'!$A:$F,4)/VLOOKUP($A17,'Present Values'!$A:$F,2),2)</f>
        <v>10501.93</v>
      </c>
      <c r="EE17">
        <f>ROUND(AC17*VLOOKUP($A17,'Present Values'!$A:$F,4)/VLOOKUP($A17,'Present Values'!$A:$F,2),2)</f>
        <v>10421.85</v>
      </c>
      <c r="EF17">
        <f>ROUND(AD17*VLOOKUP($A17,'Present Values'!$A:$F,4)/VLOOKUP($A17,'Present Values'!$A:$F,2),2)</f>
        <v>10255.86</v>
      </c>
      <c r="EG17">
        <f>ROUND(AE17*VLOOKUP($A17,'Present Values'!$A:$F,4)/VLOOKUP($A17,'Present Values'!$A:$F,2),2)</f>
        <v>9996.64</v>
      </c>
      <c r="EH17">
        <f>ROUND(AF17*VLOOKUP($A17,'Present Values'!$A:$F,4)/VLOOKUP($A17,'Present Values'!$A:$F,2),2)</f>
        <v>9639.56</v>
      </c>
      <c r="EI17">
        <f>ROUND(AG17*VLOOKUP($A17,'Present Values'!$A:$F,4)/VLOOKUP($A17,'Present Values'!$A:$F,2),2)</f>
        <v>9164.26</v>
      </c>
      <c r="EJ17">
        <f>ROUND(AH17*VLOOKUP($A17,'Present Values'!$A:$F,4)/VLOOKUP($A17,'Present Values'!$A:$F,2),2)</f>
        <v>8574.81</v>
      </c>
      <c r="EK17">
        <f>ROUND(AI17*VLOOKUP($A17,'Present Values'!$A:$F,4)/VLOOKUP($A17,'Present Values'!$A:$F,2),2)</f>
        <v>7882.51</v>
      </c>
      <c r="EL17">
        <f>ROUND(AJ17*VLOOKUP($A17,'Present Values'!$A:$F,4)/VLOOKUP($A17,'Present Values'!$A:$F,2),2)</f>
        <v>7104.65</v>
      </c>
      <c r="EM17">
        <f>ROUND(AK17*VLOOKUP($A17,'Present Values'!$A:$F,4)/VLOOKUP($A17,'Present Values'!$A:$F,2),2)</f>
        <v>6263.24</v>
      </c>
      <c r="EN17">
        <f>ROUND(AL17*VLOOKUP($A17,'Present Values'!$A:$F,4)/VLOOKUP($A17,'Present Values'!$A:$F,2),2)</f>
        <v>5386.01</v>
      </c>
      <c r="EO17">
        <f>ROUND(AM17*VLOOKUP($A17,'Present Values'!$A:$F,4)/VLOOKUP($A17,'Present Values'!$A:$F,2),2)</f>
        <v>4507.04</v>
      </c>
      <c r="EP17">
        <f>ROUND(AN17*VLOOKUP($A17,'Present Values'!$A:$F,4)/VLOOKUP($A17,'Present Values'!$A:$F,2),2)</f>
        <v>3663.29</v>
      </c>
      <c r="EQ17">
        <f>ROUND(AO17*VLOOKUP($A17,'Present Values'!$A:$F,4)/VLOOKUP($A17,'Present Values'!$A:$F,2),2)</f>
        <v>2908.28</v>
      </c>
      <c r="ER17">
        <f>ROUND(AP17*VLOOKUP($A17,'Present Values'!$A:$F,4)/VLOOKUP($A17,'Present Values'!$A:$F,2),2)</f>
        <v>2240.33</v>
      </c>
      <c r="ES17">
        <f>ROUND(AQ17*VLOOKUP($A17,'Present Values'!$A:$F,4)/VLOOKUP($A17,'Present Values'!$A:$F,2),2)</f>
        <v>1654.09</v>
      </c>
      <c r="ET17">
        <f>ROUND(AR17*VLOOKUP($A17,'Present Values'!$A:$F,4)/VLOOKUP($A17,'Present Values'!$A:$F,2),2)</f>
        <v>1159.05</v>
      </c>
      <c r="EU17">
        <f>ROUND(AS17*VLOOKUP($A17,'Present Values'!$A:$F,4)/VLOOKUP($A17,'Present Values'!$A:$F,2),2)</f>
        <v>766.92</v>
      </c>
      <c r="EV17">
        <f>ROUND(AT17*VLOOKUP($A17,'Present Values'!$A:$F,4)/VLOOKUP($A17,'Present Values'!$A:$F,2),2)</f>
        <v>461.14</v>
      </c>
      <c r="EW17">
        <f>ROUND(AU17*VLOOKUP($A17,'Present Values'!$A:$F,4)/VLOOKUP($A17,'Present Values'!$A:$F,2),2)</f>
        <v>245.76</v>
      </c>
      <c r="EX17">
        <f>ROUND(AV17*VLOOKUP($A17,'Present Values'!$A:$F,4)/VLOOKUP($A17,'Present Values'!$A:$F,2),2)</f>
        <v>113.84</v>
      </c>
      <c r="EY17">
        <f>ROUND(AW17*VLOOKUP($A17,'Present Values'!$A:$F,4)/VLOOKUP($A17,'Present Values'!$A:$F,2),2)</f>
        <v>45.25</v>
      </c>
      <c r="EZ17">
        <f>ROUND(AX17*VLOOKUP($A17,'Present Values'!$A:$F,4)/VLOOKUP($A17,'Present Values'!$A:$F,2),2)</f>
        <v>14.68</v>
      </c>
      <c r="FA17">
        <f>ROUND(AY17*VLOOKUP($A17,'Present Values'!$A:$F,4)/VLOOKUP($A17,'Present Values'!$A:$F,2),2)</f>
        <v>3.57</v>
      </c>
      <c r="FB17">
        <f>ROUND(AZ17*VLOOKUP($A17,'Present Values'!$A:$F,4)/VLOOKUP($A17,'Present Values'!$A:$F,2),2)</f>
        <v>0.55000000000000004</v>
      </c>
      <c r="FC17">
        <f>ROUND(BA17*VLOOKUP($A17,'Present Values'!$A:$F,4)/VLOOKUP($A17,'Present Values'!$A:$F,2),2)</f>
        <v>0</v>
      </c>
      <c r="FD17">
        <f>ROUND(BB17*VLOOKUP($A17,'Present Values'!$A:$F,4)/VLOOKUP($A17,'Present Values'!$A:$F,2),2)</f>
        <v>0</v>
      </c>
      <c r="FE17">
        <f>ROUND(BC17*VLOOKUP($A17,'Present Values'!$A:$F,4)/VLOOKUP($A17,'Present Values'!$A:$F,2),2)</f>
        <v>0</v>
      </c>
      <c r="FF17">
        <f>ROUND(BD17*VLOOKUP($A17,'Present Values'!$A:$F,4)/VLOOKUP($A17,'Present Values'!$A:$F,2),2)</f>
        <v>0</v>
      </c>
      <c r="FG17">
        <f>ROUND(BE17*VLOOKUP($A17,'Present Values'!$A:$F,4)/VLOOKUP($A17,'Present Values'!$A:$F,2),2)</f>
        <v>0</v>
      </c>
      <c r="FH17">
        <f>ROUND(BF17*VLOOKUP($A17,'Present Values'!$A:$F,4)/VLOOKUP($A17,'Present Values'!$A:$F,2),2)</f>
        <v>0</v>
      </c>
      <c r="FI17">
        <f>ROUND(BG17*VLOOKUP($A17,'Present Values'!$A:$F,4)/VLOOKUP($A17,'Present Values'!$A:$F,2),2)</f>
        <v>0</v>
      </c>
      <c r="FJ17">
        <f>ROUND(BH17*VLOOKUP($A17,'Present Values'!$A:$F,4)/VLOOKUP($A17,'Present Values'!$A:$F,2),2)</f>
        <v>0</v>
      </c>
      <c r="FK17">
        <f>ROUND(BI17*VLOOKUP($A17,'Present Values'!$A:$F,4)/VLOOKUP($A17,'Present Values'!$A:$F,2),2)</f>
        <v>0</v>
      </c>
      <c r="FL17">
        <f>ROUND(BJ17*VLOOKUP($A17,'Present Values'!$A:$F,4)/VLOOKUP($A17,'Present Values'!$A:$F,2),2)</f>
        <v>0</v>
      </c>
      <c r="FM17">
        <f>ROUND(BK17*VLOOKUP($A17,'Present Values'!$A:$F,4)/VLOOKUP($A17,'Present Values'!$A:$F,2),2)</f>
        <v>0</v>
      </c>
      <c r="FN17">
        <f>ROUND(BL17*VLOOKUP($A17,'Present Values'!$A:$F,4)/VLOOKUP($A17,'Present Values'!$A:$F,2),2)</f>
        <v>0</v>
      </c>
      <c r="FO17">
        <f>ROUND(BM17*VLOOKUP($A17,'Present Values'!$A:$F,4)/VLOOKUP($A17,'Present Values'!$A:$F,2),2)</f>
        <v>0</v>
      </c>
      <c r="FP17">
        <f>ROUND(BN17*VLOOKUP($A17,'Present Values'!$A:$F,4)/VLOOKUP($A17,'Present Values'!$A:$F,2),2)</f>
        <v>0</v>
      </c>
      <c r="FQ17">
        <f>ROUND(BO17*VLOOKUP($A17,'Present Values'!$A:$F,4)/VLOOKUP($A17,'Present Values'!$A:$F,2),2)</f>
        <v>0</v>
      </c>
      <c r="FR17">
        <f>ROUND(BP17*VLOOKUP($A17,'Present Values'!$A:$F,4)/VLOOKUP($A17,'Present Values'!$A:$F,2),2)</f>
        <v>0</v>
      </c>
      <c r="FS17">
        <f>ROUND(BQ17*VLOOKUP($A17,'Present Values'!$A:$F,4)/VLOOKUP($A17,'Present Values'!$A:$F,2),2)</f>
        <v>0</v>
      </c>
      <c r="FT17">
        <f>ROUND(BR17*VLOOKUP($A17,'Present Values'!$A:$F,4)/VLOOKUP($A17,'Present Values'!$A:$F,2),2)</f>
        <v>0</v>
      </c>
      <c r="FU17">
        <f>ROUND(BS17*VLOOKUP($A17,'Present Values'!$A:$F,4)/VLOOKUP($A17,'Present Values'!$A:$F,2),2)</f>
        <v>0</v>
      </c>
      <c r="FV17">
        <f>ROUND(BT17*VLOOKUP($A17,'Present Values'!$A:$F,4)/VLOOKUP($A17,'Present Values'!$A:$F,2),2)</f>
        <v>0</v>
      </c>
      <c r="FW17">
        <f>ROUND(BU17*VLOOKUP($A17,'Present Values'!$A:$F,4)/VLOOKUP($A17,'Present Values'!$A:$F,2),2)</f>
        <v>0</v>
      </c>
      <c r="FX17">
        <f>ROUND(BV17*VLOOKUP($A17,'Present Values'!$A:$F,4)/VLOOKUP($A17,'Present Values'!$A:$F,2),2)</f>
        <v>0</v>
      </c>
      <c r="FY17">
        <f>ROUND(BW17*VLOOKUP($A17,'Present Values'!$A:$F,4)/VLOOKUP($A17,'Present Values'!$A:$F,2),2)</f>
        <v>0</v>
      </c>
      <c r="FZ17">
        <f>ROUND(BX17*VLOOKUP($A17,'Present Values'!$A:$F,4)/VLOOKUP($A17,'Present Values'!$A:$F,2),2)</f>
        <v>0</v>
      </c>
      <c r="GA17">
        <f>ROUND(BY17*VLOOKUP($A17,'Present Values'!$A:$F,4)/VLOOKUP($A17,'Present Values'!$A:$F,2),2)</f>
        <v>0</v>
      </c>
      <c r="GB17">
        <f>ROUND(BZ17*VLOOKUP($A17,'Present Values'!$A:$F,4)/VLOOKUP($A17,'Present Values'!$A:$F,2),2)</f>
        <v>0</v>
      </c>
      <c r="GC17">
        <f>ROUND(CA17*VLOOKUP($A17,'Present Values'!$A:$F,4)/VLOOKUP($A17,'Present Values'!$A:$F,2),2)</f>
        <v>0</v>
      </c>
      <c r="GD17">
        <f>ROUND(CB17*VLOOKUP($A17,'Present Values'!$A:$F,4)/VLOOKUP($A17,'Present Values'!$A:$F,2),2)</f>
        <v>0</v>
      </c>
      <c r="GE17">
        <f>ROUND(CC17*VLOOKUP($A17,'Present Values'!$A:$F,4)/VLOOKUP($A17,'Present Values'!$A:$F,2),2)</f>
        <v>0</v>
      </c>
      <c r="GF17">
        <f>ROUND(CD17*VLOOKUP($A17,'Present Values'!$A:$F,4)/VLOOKUP($A17,'Present Values'!$A:$F,2),2)</f>
        <v>0</v>
      </c>
      <c r="GG17">
        <f>ROUND(CE17*VLOOKUP($A17,'Present Values'!$A:$F,4)/VLOOKUP($A17,'Present Values'!$A:$F,2),2)</f>
        <v>0</v>
      </c>
      <c r="GH17">
        <f>ROUND(CF17*VLOOKUP($A17,'Present Values'!$A:$F,4)/VLOOKUP($A17,'Present Values'!$A:$F,2),2)</f>
        <v>0</v>
      </c>
      <c r="GI17">
        <f>ROUND(CG17*VLOOKUP($A17,'Present Values'!$A:$F,4)/VLOOKUP($A17,'Present Values'!$A:$F,2),2)</f>
        <v>0</v>
      </c>
      <c r="GJ17">
        <f>ROUND(CH17*VLOOKUP($A17,'Present Values'!$A:$F,4)/VLOOKUP($A17,'Present Values'!$A:$F,2),2)</f>
        <v>0</v>
      </c>
      <c r="GK17">
        <f>ROUND(CI17*VLOOKUP($A17,'Present Values'!$A:$F,4)/VLOOKUP($A17,'Present Values'!$A:$F,2),2)</f>
        <v>0</v>
      </c>
      <c r="GL17">
        <f>ROUND(CJ17*VLOOKUP($A17,'Present Values'!$A:$F,4)/VLOOKUP($A17,'Present Values'!$A:$F,2),2)</f>
        <v>0</v>
      </c>
      <c r="GM17">
        <f>ROUND(CK17*VLOOKUP($A17,'Present Values'!$A:$F,4)/VLOOKUP($A17,'Present Values'!$A:$F,2),2)</f>
        <v>0</v>
      </c>
      <c r="GN17">
        <f>ROUND(CL17*VLOOKUP($A17,'Present Values'!$A:$F,4)/VLOOKUP($A17,'Present Values'!$A:$F,2),2)</f>
        <v>0</v>
      </c>
      <c r="GO17">
        <f>ROUND(CM17*VLOOKUP($A17,'Present Values'!$A:$F,4)/VLOOKUP($A17,'Present Values'!$A:$F,2),2)</f>
        <v>0</v>
      </c>
      <c r="GP17">
        <f>ROUND(CN17*VLOOKUP($A17,'Present Values'!$A:$F,4)/VLOOKUP($A17,'Present Values'!$A:$F,2),2)</f>
        <v>0</v>
      </c>
      <c r="GQ17">
        <f>ROUND(CO17*VLOOKUP($A17,'Present Values'!$A:$F,4)/VLOOKUP($A17,'Present Values'!$A:$F,2),2)</f>
        <v>0</v>
      </c>
      <c r="GR17">
        <f>ROUND(CP17*VLOOKUP($A17,'Present Values'!$A:$F,4)/VLOOKUP($A17,'Present Values'!$A:$F,2),2)</f>
        <v>0</v>
      </c>
      <c r="GS17">
        <f>ROUND(CQ17*VLOOKUP($A17,'Present Values'!$A:$F,4)/VLOOKUP($A17,'Present Values'!$A:$F,2),2)</f>
        <v>0</v>
      </c>
      <c r="GT17">
        <f>ROUND(CR17*VLOOKUP($A17,'Present Values'!$A:$F,4)/VLOOKUP($A17,'Present Values'!$A:$F,2),2)</f>
        <v>0</v>
      </c>
      <c r="GU17">
        <f>ROUND(CS17*VLOOKUP($A17,'Present Values'!$A:$F,4)/VLOOKUP($A17,'Present Values'!$A:$F,2),2)</f>
        <v>0</v>
      </c>
      <c r="GV17">
        <f>ROUND(CT17*VLOOKUP($A17,'Present Values'!$A:$F,4)/VLOOKUP($A17,'Present Values'!$A:$F,2),2)</f>
        <v>0</v>
      </c>
      <c r="GW17">
        <f>ROUND(CU17*VLOOKUP($A17,'Present Values'!$A:$F,4)/VLOOKUP($A17,'Present Values'!$A:$F,2),2)</f>
        <v>0</v>
      </c>
      <c r="GX17">
        <f>ROUND(CV17*VLOOKUP($A17,'Present Values'!$A:$F,4)/VLOOKUP($A17,'Present Values'!$A:$F,2),2)</f>
        <v>0</v>
      </c>
      <c r="GY17">
        <f>ROUND(CW17*VLOOKUP($A17,'Present Values'!$A:$F,4)/VLOOKUP($A17,'Present Values'!$A:$F,2),2)</f>
        <v>0</v>
      </c>
      <c r="HA17" s="3">
        <f>NPV(Assumptions!$C$9, DD17:GY17)*(1+Assumptions!$C$9)</f>
        <v>183157.69885802988</v>
      </c>
      <c r="HB17" s="12">
        <f>'Present Values'!D17</f>
        <v>183157.67</v>
      </c>
      <c r="HD17" s="3">
        <f>NPV(Assumptions!$C$9+0.01,Payouts!$B17:$CW17)*(1.01+Assumptions!$C$9)</f>
        <v>160497.792447719</v>
      </c>
      <c r="HE17" s="3">
        <f>NPV(Assumptions!$C$9-0.01,Payouts!$B17:$CW17)*(0.99+Assumptions!$C$9)</f>
        <v>211630.87518946259</v>
      </c>
      <c r="HG17" s="3">
        <f>IF(AND(AMMset!D14&gt;0,'Present Values'!F17&gt;0),NPV(Assumptions!$C$9+0.01,Payouts!$DD17:$GY17)*(1.01+Assumptions!$C$9)/AMMset!D14, 0)</f>
        <v>0</v>
      </c>
      <c r="HH17" s="3">
        <f>IF(AND(AMMset!D14&gt;0,'Present Values'!F17&gt;0),NPV(Assumptions!$C$9-0.01,Payouts!$DD17:$GY17)*(0.99+Assumptions!$C$9)/AMMset!D14, 0)</f>
        <v>0</v>
      </c>
      <c r="HJ17" s="12">
        <v>0</v>
      </c>
      <c r="HK17" s="12">
        <v>0</v>
      </c>
      <c r="HM17" s="12">
        <v>160497.79</v>
      </c>
      <c r="HN17" s="12">
        <v>211630.88</v>
      </c>
    </row>
    <row r="18" spans="1:222" x14ac:dyDescent="0.25">
      <c r="A18">
        <v>14</v>
      </c>
      <c r="B18">
        <v>4197</v>
      </c>
      <c r="C18">
        <v>4381.5200000000004</v>
      </c>
      <c r="D18">
        <v>4568.66</v>
      </c>
      <c r="E18">
        <v>4757.03</v>
      </c>
      <c r="F18">
        <v>4945.24</v>
      </c>
      <c r="G18">
        <v>5132.03</v>
      </c>
      <c r="H18">
        <v>5316.72</v>
      </c>
      <c r="I18">
        <v>5497.25</v>
      </c>
      <c r="J18">
        <v>5671.71</v>
      </c>
      <c r="K18">
        <v>5837.72</v>
      </c>
      <c r="L18">
        <v>5990.9</v>
      </c>
      <c r="M18">
        <v>6126.74</v>
      </c>
      <c r="N18">
        <v>6240.14</v>
      </c>
      <c r="O18">
        <v>6326.66</v>
      </c>
      <c r="P18">
        <v>6380.88</v>
      </c>
      <c r="Q18">
        <v>6397.45</v>
      </c>
      <c r="R18">
        <v>6372.3</v>
      </c>
      <c r="S18">
        <v>6302.86</v>
      </c>
      <c r="T18">
        <v>6186.12</v>
      </c>
      <c r="U18">
        <v>6019.39</v>
      </c>
      <c r="V18">
        <v>5789.58</v>
      </c>
      <c r="W18">
        <v>5494.09</v>
      </c>
      <c r="X18">
        <v>5133.87</v>
      </c>
      <c r="Y18">
        <v>4713.53</v>
      </c>
      <c r="Z18">
        <v>4243.07</v>
      </c>
      <c r="AA18">
        <v>3738.23</v>
      </c>
      <c r="AB18">
        <v>3218.44</v>
      </c>
      <c r="AC18">
        <v>2703.67</v>
      </c>
      <c r="AD18">
        <v>2212.1799999999998</v>
      </c>
      <c r="AE18">
        <v>1759.56</v>
      </c>
      <c r="AF18">
        <v>1357.69</v>
      </c>
      <c r="AG18">
        <v>1022.26</v>
      </c>
      <c r="AH18">
        <v>744.03</v>
      </c>
      <c r="AI18">
        <v>529.55999999999995</v>
      </c>
      <c r="AJ18">
        <v>357.31</v>
      </c>
      <c r="AK18">
        <v>227.25</v>
      </c>
      <c r="AL18">
        <v>130.6</v>
      </c>
      <c r="AM18">
        <v>66.040000000000006</v>
      </c>
      <c r="AN18">
        <v>28.89</v>
      </c>
      <c r="AO18">
        <v>10.83</v>
      </c>
      <c r="AP18">
        <v>3.31</v>
      </c>
      <c r="AQ18">
        <v>0.76</v>
      </c>
      <c r="AR18">
        <v>0.11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Y18" s="3">
        <f>NPV(Assumptions!$C$9, B18:CW18)*(1+Assumptions!$C$9)</f>
        <v>96463.706117432535</v>
      </c>
      <c r="CZ18" s="12">
        <f>'Present Values'!B18</f>
        <v>96463.71</v>
      </c>
      <c r="DD18">
        <f>ROUND(B18*VLOOKUP($A18,'Present Values'!$A:$F,4)/VLOOKUP($A18,'Present Values'!$A:$F,2),2)</f>
        <v>4197</v>
      </c>
      <c r="DE18">
        <f>ROUND(C18*VLOOKUP($A18,'Present Values'!$A:$F,4)/VLOOKUP($A18,'Present Values'!$A:$F,2),2)</f>
        <v>4381.5200000000004</v>
      </c>
      <c r="DF18">
        <f>ROUND(D18*VLOOKUP($A18,'Present Values'!$A:$F,4)/VLOOKUP($A18,'Present Values'!$A:$F,2),2)</f>
        <v>4568.66</v>
      </c>
      <c r="DG18">
        <f>ROUND(E18*VLOOKUP($A18,'Present Values'!$A:$F,4)/VLOOKUP($A18,'Present Values'!$A:$F,2),2)</f>
        <v>4757.03</v>
      </c>
      <c r="DH18">
        <f>ROUND(F18*VLOOKUP($A18,'Present Values'!$A:$F,4)/VLOOKUP($A18,'Present Values'!$A:$F,2),2)</f>
        <v>4945.24</v>
      </c>
      <c r="DI18">
        <f>ROUND(G18*VLOOKUP($A18,'Present Values'!$A:$F,4)/VLOOKUP($A18,'Present Values'!$A:$F,2),2)</f>
        <v>5132.03</v>
      </c>
      <c r="DJ18">
        <f>ROUND(H18*VLOOKUP($A18,'Present Values'!$A:$F,4)/VLOOKUP($A18,'Present Values'!$A:$F,2),2)</f>
        <v>5316.72</v>
      </c>
      <c r="DK18">
        <f>ROUND(I18*VLOOKUP($A18,'Present Values'!$A:$F,4)/VLOOKUP($A18,'Present Values'!$A:$F,2),2)</f>
        <v>5497.25</v>
      </c>
      <c r="DL18">
        <f>ROUND(J18*VLOOKUP($A18,'Present Values'!$A:$F,4)/VLOOKUP($A18,'Present Values'!$A:$F,2),2)</f>
        <v>5671.71</v>
      </c>
      <c r="DM18">
        <f>ROUND(K18*VLOOKUP($A18,'Present Values'!$A:$F,4)/VLOOKUP($A18,'Present Values'!$A:$F,2),2)</f>
        <v>5837.72</v>
      </c>
      <c r="DN18">
        <f>ROUND(L18*VLOOKUP($A18,'Present Values'!$A:$F,4)/VLOOKUP($A18,'Present Values'!$A:$F,2),2)</f>
        <v>5990.9</v>
      </c>
      <c r="DO18">
        <f>ROUND(M18*VLOOKUP($A18,'Present Values'!$A:$F,4)/VLOOKUP($A18,'Present Values'!$A:$F,2),2)</f>
        <v>6126.74</v>
      </c>
      <c r="DP18">
        <f>ROUND(N18*VLOOKUP($A18,'Present Values'!$A:$F,4)/VLOOKUP($A18,'Present Values'!$A:$F,2),2)</f>
        <v>6240.14</v>
      </c>
      <c r="DQ18">
        <f>ROUND(O18*VLOOKUP($A18,'Present Values'!$A:$F,4)/VLOOKUP($A18,'Present Values'!$A:$F,2),2)</f>
        <v>6326.66</v>
      </c>
      <c r="DR18">
        <f>ROUND(P18*VLOOKUP($A18,'Present Values'!$A:$F,4)/VLOOKUP($A18,'Present Values'!$A:$F,2),2)</f>
        <v>6380.88</v>
      </c>
      <c r="DS18">
        <f>ROUND(Q18*VLOOKUP($A18,'Present Values'!$A:$F,4)/VLOOKUP($A18,'Present Values'!$A:$F,2),2)</f>
        <v>6397.45</v>
      </c>
      <c r="DT18">
        <f>ROUND(R18*VLOOKUP($A18,'Present Values'!$A:$F,4)/VLOOKUP($A18,'Present Values'!$A:$F,2),2)</f>
        <v>6372.3</v>
      </c>
      <c r="DU18">
        <f>ROUND(S18*VLOOKUP($A18,'Present Values'!$A:$F,4)/VLOOKUP($A18,'Present Values'!$A:$F,2),2)</f>
        <v>6302.86</v>
      </c>
      <c r="DV18">
        <f>ROUND(T18*VLOOKUP($A18,'Present Values'!$A:$F,4)/VLOOKUP($A18,'Present Values'!$A:$F,2),2)</f>
        <v>6186.12</v>
      </c>
      <c r="DW18">
        <f>ROUND(U18*VLOOKUP($A18,'Present Values'!$A:$F,4)/VLOOKUP($A18,'Present Values'!$A:$F,2),2)</f>
        <v>6019.39</v>
      </c>
      <c r="DX18">
        <f>ROUND(V18*VLOOKUP($A18,'Present Values'!$A:$F,4)/VLOOKUP($A18,'Present Values'!$A:$F,2),2)</f>
        <v>5789.58</v>
      </c>
      <c r="DY18">
        <f>ROUND(W18*VLOOKUP($A18,'Present Values'!$A:$F,4)/VLOOKUP($A18,'Present Values'!$A:$F,2),2)</f>
        <v>5494.09</v>
      </c>
      <c r="DZ18">
        <f>ROUND(X18*VLOOKUP($A18,'Present Values'!$A:$F,4)/VLOOKUP($A18,'Present Values'!$A:$F,2),2)</f>
        <v>5133.87</v>
      </c>
      <c r="EA18">
        <f>ROUND(Y18*VLOOKUP($A18,'Present Values'!$A:$F,4)/VLOOKUP($A18,'Present Values'!$A:$F,2),2)</f>
        <v>4713.53</v>
      </c>
      <c r="EB18">
        <f>ROUND(Z18*VLOOKUP($A18,'Present Values'!$A:$F,4)/VLOOKUP($A18,'Present Values'!$A:$F,2),2)</f>
        <v>4243.07</v>
      </c>
      <c r="EC18">
        <f>ROUND(AA18*VLOOKUP($A18,'Present Values'!$A:$F,4)/VLOOKUP($A18,'Present Values'!$A:$F,2),2)</f>
        <v>3738.23</v>
      </c>
      <c r="ED18">
        <f>ROUND(AB18*VLOOKUP($A18,'Present Values'!$A:$F,4)/VLOOKUP($A18,'Present Values'!$A:$F,2),2)</f>
        <v>3218.44</v>
      </c>
      <c r="EE18">
        <f>ROUND(AC18*VLOOKUP($A18,'Present Values'!$A:$F,4)/VLOOKUP($A18,'Present Values'!$A:$F,2),2)</f>
        <v>2703.67</v>
      </c>
      <c r="EF18">
        <f>ROUND(AD18*VLOOKUP($A18,'Present Values'!$A:$F,4)/VLOOKUP($A18,'Present Values'!$A:$F,2),2)</f>
        <v>2212.1799999999998</v>
      </c>
      <c r="EG18">
        <f>ROUND(AE18*VLOOKUP($A18,'Present Values'!$A:$F,4)/VLOOKUP($A18,'Present Values'!$A:$F,2),2)</f>
        <v>1759.56</v>
      </c>
      <c r="EH18">
        <f>ROUND(AF18*VLOOKUP($A18,'Present Values'!$A:$F,4)/VLOOKUP($A18,'Present Values'!$A:$F,2),2)</f>
        <v>1357.69</v>
      </c>
      <c r="EI18">
        <f>ROUND(AG18*VLOOKUP($A18,'Present Values'!$A:$F,4)/VLOOKUP($A18,'Present Values'!$A:$F,2),2)</f>
        <v>1022.26</v>
      </c>
      <c r="EJ18">
        <f>ROUND(AH18*VLOOKUP($A18,'Present Values'!$A:$F,4)/VLOOKUP($A18,'Present Values'!$A:$F,2),2)</f>
        <v>744.03</v>
      </c>
      <c r="EK18">
        <f>ROUND(AI18*VLOOKUP($A18,'Present Values'!$A:$F,4)/VLOOKUP($A18,'Present Values'!$A:$F,2),2)</f>
        <v>529.55999999999995</v>
      </c>
      <c r="EL18">
        <f>ROUND(AJ18*VLOOKUP($A18,'Present Values'!$A:$F,4)/VLOOKUP($A18,'Present Values'!$A:$F,2),2)</f>
        <v>357.31</v>
      </c>
      <c r="EM18">
        <f>ROUND(AK18*VLOOKUP($A18,'Present Values'!$A:$F,4)/VLOOKUP($A18,'Present Values'!$A:$F,2),2)</f>
        <v>227.25</v>
      </c>
      <c r="EN18">
        <f>ROUND(AL18*VLOOKUP($A18,'Present Values'!$A:$F,4)/VLOOKUP($A18,'Present Values'!$A:$F,2),2)</f>
        <v>130.6</v>
      </c>
      <c r="EO18">
        <f>ROUND(AM18*VLOOKUP($A18,'Present Values'!$A:$F,4)/VLOOKUP($A18,'Present Values'!$A:$F,2),2)</f>
        <v>66.040000000000006</v>
      </c>
      <c r="EP18">
        <f>ROUND(AN18*VLOOKUP($A18,'Present Values'!$A:$F,4)/VLOOKUP($A18,'Present Values'!$A:$F,2),2)</f>
        <v>28.89</v>
      </c>
      <c r="EQ18">
        <f>ROUND(AO18*VLOOKUP($A18,'Present Values'!$A:$F,4)/VLOOKUP($A18,'Present Values'!$A:$F,2),2)</f>
        <v>10.83</v>
      </c>
      <c r="ER18">
        <f>ROUND(AP18*VLOOKUP($A18,'Present Values'!$A:$F,4)/VLOOKUP($A18,'Present Values'!$A:$F,2),2)</f>
        <v>3.31</v>
      </c>
      <c r="ES18">
        <f>ROUND(AQ18*VLOOKUP($A18,'Present Values'!$A:$F,4)/VLOOKUP($A18,'Present Values'!$A:$F,2),2)</f>
        <v>0.76</v>
      </c>
      <c r="ET18">
        <f>ROUND(AR18*VLOOKUP($A18,'Present Values'!$A:$F,4)/VLOOKUP($A18,'Present Values'!$A:$F,2),2)</f>
        <v>0.11</v>
      </c>
      <c r="EU18">
        <f>ROUND(AS18*VLOOKUP($A18,'Present Values'!$A:$F,4)/VLOOKUP($A18,'Present Values'!$A:$F,2),2)</f>
        <v>0</v>
      </c>
      <c r="EV18">
        <f>ROUND(AT18*VLOOKUP($A18,'Present Values'!$A:$F,4)/VLOOKUP($A18,'Present Values'!$A:$F,2),2)</f>
        <v>0</v>
      </c>
      <c r="EW18">
        <f>ROUND(AU18*VLOOKUP($A18,'Present Values'!$A:$F,4)/VLOOKUP($A18,'Present Values'!$A:$F,2),2)</f>
        <v>0</v>
      </c>
      <c r="EX18">
        <f>ROUND(AV18*VLOOKUP($A18,'Present Values'!$A:$F,4)/VLOOKUP($A18,'Present Values'!$A:$F,2),2)</f>
        <v>0</v>
      </c>
      <c r="EY18">
        <f>ROUND(AW18*VLOOKUP($A18,'Present Values'!$A:$F,4)/VLOOKUP($A18,'Present Values'!$A:$F,2),2)</f>
        <v>0</v>
      </c>
      <c r="EZ18">
        <f>ROUND(AX18*VLOOKUP($A18,'Present Values'!$A:$F,4)/VLOOKUP($A18,'Present Values'!$A:$F,2),2)</f>
        <v>0</v>
      </c>
      <c r="FA18">
        <f>ROUND(AY18*VLOOKUP($A18,'Present Values'!$A:$F,4)/VLOOKUP($A18,'Present Values'!$A:$F,2),2)</f>
        <v>0</v>
      </c>
      <c r="FB18">
        <f>ROUND(AZ18*VLOOKUP($A18,'Present Values'!$A:$F,4)/VLOOKUP($A18,'Present Values'!$A:$F,2),2)</f>
        <v>0</v>
      </c>
      <c r="FC18">
        <f>ROUND(BA18*VLOOKUP($A18,'Present Values'!$A:$F,4)/VLOOKUP($A18,'Present Values'!$A:$F,2),2)</f>
        <v>0</v>
      </c>
      <c r="FD18">
        <f>ROUND(BB18*VLOOKUP($A18,'Present Values'!$A:$F,4)/VLOOKUP($A18,'Present Values'!$A:$F,2),2)</f>
        <v>0</v>
      </c>
      <c r="FE18">
        <f>ROUND(BC18*VLOOKUP($A18,'Present Values'!$A:$F,4)/VLOOKUP($A18,'Present Values'!$A:$F,2),2)</f>
        <v>0</v>
      </c>
      <c r="FF18">
        <f>ROUND(BD18*VLOOKUP($A18,'Present Values'!$A:$F,4)/VLOOKUP($A18,'Present Values'!$A:$F,2),2)</f>
        <v>0</v>
      </c>
      <c r="FG18">
        <f>ROUND(BE18*VLOOKUP($A18,'Present Values'!$A:$F,4)/VLOOKUP($A18,'Present Values'!$A:$F,2),2)</f>
        <v>0</v>
      </c>
      <c r="FH18">
        <f>ROUND(BF18*VLOOKUP($A18,'Present Values'!$A:$F,4)/VLOOKUP($A18,'Present Values'!$A:$F,2),2)</f>
        <v>0</v>
      </c>
      <c r="FI18">
        <f>ROUND(BG18*VLOOKUP($A18,'Present Values'!$A:$F,4)/VLOOKUP($A18,'Present Values'!$A:$F,2),2)</f>
        <v>0</v>
      </c>
      <c r="FJ18">
        <f>ROUND(BH18*VLOOKUP($A18,'Present Values'!$A:$F,4)/VLOOKUP($A18,'Present Values'!$A:$F,2),2)</f>
        <v>0</v>
      </c>
      <c r="FK18">
        <f>ROUND(BI18*VLOOKUP($A18,'Present Values'!$A:$F,4)/VLOOKUP($A18,'Present Values'!$A:$F,2),2)</f>
        <v>0</v>
      </c>
      <c r="FL18">
        <f>ROUND(BJ18*VLOOKUP($A18,'Present Values'!$A:$F,4)/VLOOKUP($A18,'Present Values'!$A:$F,2),2)</f>
        <v>0</v>
      </c>
      <c r="FM18">
        <f>ROUND(BK18*VLOOKUP($A18,'Present Values'!$A:$F,4)/VLOOKUP($A18,'Present Values'!$A:$F,2),2)</f>
        <v>0</v>
      </c>
      <c r="FN18">
        <f>ROUND(BL18*VLOOKUP($A18,'Present Values'!$A:$F,4)/VLOOKUP($A18,'Present Values'!$A:$F,2),2)</f>
        <v>0</v>
      </c>
      <c r="FO18">
        <f>ROUND(BM18*VLOOKUP($A18,'Present Values'!$A:$F,4)/VLOOKUP($A18,'Present Values'!$A:$F,2),2)</f>
        <v>0</v>
      </c>
      <c r="FP18">
        <f>ROUND(BN18*VLOOKUP($A18,'Present Values'!$A:$F,4)/VLOOKUP($A18,'Present Values'!$A:$F,2),2)</f>
        <v>0</v>
      </c>
      <c r="FQ18">
        <f>ROUND(BO18*VLOOKUP($A18,'Present Values'!$A:$F,4)/VLOOKUP($A18,'Present Values'!$A:$F,2),2)</f>
        <v>0</v>
      </c>
      <c r="FR18">
        <f>ROUND(BP18*VLOOKUP($A18,'Present Values'!$A:$F,4)/VLOOKUP($A18,'Present Values'!$A:$F,2),2)</f>
        <v>0</v>
      </c>
      <c r="FS18">
        <f>ROUND(BQ18*VLOOKUP($A18,'Present Values'!$A:$F,4)/VLOOKUP($A18,'Present Values'!$A:$F,2),2)</f>
        <v>0</v>
      </c>
      <c r="FT18">
        <f>ROUND(BR18*VLOOKUP($A18,'Present Values'!$A:$F,4)/VLOOKUP($A18,'Present Values'!$A:$F,2),2)</f>
        <v>0</v>
      </c>
      <c r="FU18">
        <f>ROUND(BS18*VLOOKUP($A18,'Present Values'!$A:$F,4)/VLOOKUP($A18,'Present Values'!$A:$F,2),2)</f>
        <v>0</v>
      </c>
      <c r="FV18">
        <f>ROUND(BT18*VLOOKUP($A18,'Present Values'!$A:$F,4)/VLOOKUP($A18,'Present Values'!$A:$F,2),2)</f>
        <v>0</v>
      </c>
      <c r="FW18">
        <f>ROUND(BU18*VLOOKUP($A18,'Present Values'!$A:$F,4)/VLOOKUP($A18,'Present Values'!$A:$F,2),2)</f>
        <v>0</v>
      </c>
      <c r="FX18">
        <f>ROUND(BV18*VLOOKUP($A18,'Present Values'!$A:$F,4)/VLOOKUP($A18,'Present Values'!$A:$F,2),2)</f>
        <v>0</v>
      </c>
      <c r="FY18">
        <f>ROUND(BW18*VLOOKUP($A18,'Present Values'!$A:$F,4)/VLOOKUP($A18,'Present Values'!$A:$F,2),2)</f>
        <v>0</v>
      </c>
      <c r="FZ18">
        <f>ROUND(BX18*VLOOKUP($A18,'Present Values'!$A:$F,4)/VLOOKUP($A18,'Present Values'!$A:$F,2),2)</f>
        <v>0</v>
      </c>
      <c r="GA18">
        <f>ROUND(BY18*VLOOKUP($A18,'Present Values'!$A:$F,4)/VLOOKUP($A18,'Present Values'!$A:$F,2),2)</f>
        <v>0</v>
      </c>
      <c r="GB18">
        <f>ROUND(BZ18*VLOOKUP($A18,'Present Values'!$A:$F,4)/VLOOKUP($A18,'Present Values'!$A:$F,2),2)</f>
        <v>0</v>
      </c>
      <c r="GC18">
        <f>ROUND(CA18*VLOOKUP($A18,'Present Values'!$A:$F,4)/VLOOKUP($A18,'Present Values'!$A:$F,2),2)</f>
        <v>0</v>
      </c>
      <c r="GD18">
        <f>ROUND(CB18*VLOOKUP($A18,'Present Values'!$A:$F,4)/VLOOKUP($A18,'Present Values'!$A:$F,2),2)</f>
        <v>0</v>
      </c>
      <c r="GE18">
        <f>ROUND(CC18*VLOOKUP($A18,'Present Values'!$A:$F,4)/VLOOKUP($A18,'Present Values'!$A:$F,2),2)</f>
        <v>0</v>
      </c>
      <c r="GF18">
        <f>ROUND(CD18*VLOOKUP($A18,'Present Values'!$A:$F,4)/VLOOKUP($A18,'Present Values'!$A:$F,2),2)</f>
        <v>0</v>
      </c>
      <c r="GG18">
        <f>ROUND(CE18*VLOOKUP($A18,'Present Values'!$A:$F,4)/VLOOKUP($A18,'Present Values'!$A:$F,2),2)</f>
        <v>0</v>
      </c>
      <c r="GH18">
        <f>ROUND(CF18*VLOOKUP($A18,'Present Values'!$A:$F,4)/VLOOKUP($A18,'Present Values'!$A:$F,2),2)</f>
        <v>0</v>
      </c>
      <c r="GI18">
        <f>ROUND(CG18*VLOOKUP($A18,'Present Values'!$A:$F,4)/VLOOKUP($A18,'Present Values'!$A:$F,2),2)</f>
        <v>0</v>
      </c>
      <c r="GJ18">
        <f>ROUND(CH18*VLOOKUP($A18,'Present Values'!$A:$F,4)/VLOOKUP($A18,'Present Values'!$A:$F,2),2)</f>
        <v>0</v>
      </c>
      <c r="GK18">
        <f>ROUND(CI18*VLOOKUP($A18,'Present Values'!$A:$F,4)/VLOOKUP($A18,'Present Values'!$A:$F,2),2)</f>
        <v>0</v>
      </c>
      <c r="GL18">
        <f>ROUND(CJ18*VLOOKUP($A18,'Present Values'!$A:$F,4)/VLOOKUP($A18,'Present Values'!$A:$F,2),2)</f>
        <v>0</v>
      </c>
      <c r="GM18">
        <f>ROUND(CK18*VLOOKUP($A18,'Present Values'!$A:$F,4)/VLOOKUP($A18,'Present Values'!$A:$F,2),2)</f>
        <v>0</v>
      </c>
      <c r="GN18">
        <f>ROUND(CL18*VLOOKUP($A18,'Present Values'!$A:$F,4)/VLOOKUP($A18,'Present Values'!$A:$F,2),2)</f>
        <v>0</v>
      </c>
      <c r="GO18">
        <f>ROUND(CM18*VLOOKUP($A18,'Present Values'!$A:$F,4)/VLOOKUP($A18,'Present Values'!$A:$F,2),2)</f>
        <v>0</v>
      </c>
      <c r="GP18">
        <f>ROUND(CN18*VLOOKUP($A18,'Present Values'!$A:$F,4)/VLOOKUP($A18,'Present Values'!$A:$F,2),2)</f>
        <v>0</v>
      </c>
      <c r="GQ18">
        <f>ROUND(CO18*VLOOKUP($A18,'Present Values'!$A:$F,4)/VLOOKUP($A18,'Present Values'!$A:$F,2),2)</f>
        <v>0</v>
      </c>
      <c r="GR18">
        <f>ROUND(CP18*VLOOKUP($A18,'Present Values'!$A:$F,4)/VLOOKUP($A18,'Present Values'!$A:$F,2),2)</f>
        <v>0</v>
      </c>
      <c r="GS18">
        <f>ROUND(CQ18*VLOOKUP($A18,'Present Values'!$A:$F,4)/VLOOKUP($A18,'Present Values'!$A:$F,2),2)</f>
        <v>0</v>
      </c>
      <c r="GT18">
        <f>ROUND(CR18*VLOOKUP($A18,'Present Values'!$A:$F,4)/VLOOKUP($A18,'Present Values'!$A:$F,2),2)</f>
        <v>0</v>
      </c>
      <c r="GU18">
        <f>ROUND(CS18*VLOOKUP($A18,'Present Values'!$A:$F,4)/VLOOKUP($A18,'Present Values'!$A:$F,2),2)</f>
        <v>0</v>
      </c>
      <c r="GV18">
        <f>ROUND(CT18*VLOOKUP($A18,'Present Values'!$A:$F,4)/VLOOKUP($A18,'Present Values'!$A:$F,2),2)</f>
        <v>0</v>
      </c>
      <c r="GW18">
        <f>ROUND(CU18*VLOOKUP($A18,'Present Values'!$A:$F,4)/VLOOKUP($A18,'Present Values'!$A:$F,2),2)</f>
        <v>0</v>
      </c>
      <c r="GX18">
        <f>ROUND(CV18*VLOOKUP($A18,'Present Values'!$A:$F,4)/VLOOKUP($A18,'Present Values'!$A:$F,2),2)</f>
        <v>0</v>
      </c>
      <c r="GY18">
        <f>ROUND(CW18*VLOOKUP($A18,'Present Values'!$A:$F,4)/VLOOKUP($A18,'Present Values'!$A:$F,2),2)</f>
        <v>0</v>
      </c>
      <c r="HA18" s="3">
        <f>NPV(Assumptions!$C$9, DD18:GY18)*(1+Assumptions!$C$9)</f>
        <v>96463.706117432535</v>
      </c>
      <c r="HB18" s="12">
        <f>'Present Values'!D18</f>
        <v>96463.71</v>
      </c>
      <c r="HD18" s="3">
        <f>NPV(Assumptions!$C$9+0.01,Payouts!$B18:$CW18)*(1.01+Assumptions!$C$9)</f>
        <v>86444.801783648902</v>
      </c>
      <c r="HE18" s="3">
        <f>NPV(Assumptions!$C$9-0.01,Payouts!$B18:$CW18)*(0.99+Assumptions!$C$9)</f>
        <v>108375.31871943097</v>
      </c>
      <c r="HG18" s="3">
        <f>IF(AND(AMMset!D15&gt;0,'Present Values'!F18&gt;0),NPV(Assumptions!$C$9+0.01,Payouts!$DD18:$GY18)*(1.01+Assumptions!$C$9)/AMMset!D15, 0)</f>
        <v>0</v>
      </c>
      <c r="HH18" s="3">
        <f>IF(AND(AMMset!D15&gt;0,'Present Values'!F18&gt;0),NPV(Assumptions!$C$9-0.01,Payouts!$DD18:$GY18)*(0.99+Assumptions!$C$9)/AMMset!D15, 0)</f>
        <v>0</v>
      </c>
      <c r="HJ18" s="12">
        <v>0</v>
      </c>
      <c r="HK18" s="12">
        <v>0</v>
      </c>
      <c r="HM18" s="12">
        <v>86444.800000000003</v>
      </c>
      <c r="HN18" s="12">
        <v>108375.32</v>
      </c>
    </row>
    <row r="19" spans="1:222" x14ac:dyDescent="0.25">
      <c r="A19">
        <v>15</v>
      </c>
      <c r="B19">
        <v>4197</v>
      </c>
      <c r="C19">
        <v>4330.21</v>
      </c>
      <c r="D19">
        <v>4456.9399999999996</v>
      </c>
      <c r="E19">
        <v>4573.8900000000003</v>
      </c>
      <c r="F19">
        <v>4677.6099999999997</v>
      </c>
      <c r="G19">
        <v>4764.18</v>
      </c>
      <c r="H19">
        <v>4830.2299999999996</v>
      </c>
      <c r="I19">
        <v>4871.63</v>
      </c>
      <c r="J19">
        <v>4884.28</v>
      </c>
      <c r="K19">
        <v>4865.08</v>
      </c>
      <c r="L19">
        <v>4812.07</v>
      </c>
      <c r="M19">
        <v>4722.9399999999996</v>
      </c>
      <c r="N19">
        <v>4595.6400000000003</v>
      </c>
      <c r="O19">
        <v>4420.1899999999996</v>
      </c>
      <c r="P19">
        <v>4194.6000000000004</v>
      </c>
      <c r="Q19">
        <v>3919.57</v>
      </c>
      <c r="R19">
        <v>3598.66</v>
      </c>
      <c r="S19">
        <v>3239.47</v>
      </c>
      <c r="T19">
        <v>2854.04</v>
      </c>
      <c r="U19">
        <v>2457.1999999999998</v>
      </c>
      <c r="V19">
        <v>2064.1799999999998</v>
      </c>
      <c r="W19">
        <v>1688.94</v>
      </c>
      <c r="X19">
        <v>1343.38</v>
      </c>
      <c r="Y19">
        <v>1036.56</v>
      </c>
      <c r="Z19">
        <v>780.47</v>
      </c>
      <c r="AA19">
        <v>568.04</v>
      </c>
      <c r="AB19">
        <v>404.3</v>
      </c>
      <c r="AC19">
        <v>272.8</v>
      </c>
      <c r="AD19">
        <v>173.5</v>
      </c>
      <c r="AE19">
        <v>99.71</v>
      </c>
      <c r="AF19">
        <v>50.42</v>
      </c>
      <c r="AG19">
        <v>22.06</v>
      </c>
      <c r="AH19">
        <v>8.27</v>
      </c>
      <c r="AI19">
        <v>2.5299999999999998</v>
      </c>
      <c r="AJ19">
        <v>0.57999999999999996</v>
      </c>
      <c r="AK19">
        <v>0.08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Y19" s="3">
        <f>NPV(Assumptions!$C$9, B19:CW19)*(1+Assumptions!$C$9)</f>
        <v>66196.779395175297</v>
      </c>
      <c r="CZ19" s="12">
        <f>'Present Values'!B19</f>
        <v>66196.800000000003</v>
      </c>
      <c r="DD19">
        <f>ROUND(B19*VLOOKUP($A19,'Present Values'!$A:$F,4)/VLOOKUP($A19,'Present Values'!$A:$F,2),2)</f>
        <v>4197</v>
      </c>
      <c r="DE19">
        <f>ROUND(C19*VLOOKUP($A19,'Present Values'!$A:$F,4)/VLOOKUP($A19,'Present Values'!$A:$F,2),2)</f>
        <v>4330.21</v>
      </c>
      <c r="DF19">
        <f>ROUND(D19*VLOOKUP($A19,'Present Values'!$A:$F,4)/VLOOKUP($A19,'Present Values'!$A:$F,2),2)</f>
        <v>4456.9399999999996</v>
      </c>
      <c r="DG19">
        <f>ROUND(E19*VLOOKUP($A19,'Present Values'!$A:$F,4)/VLOOKUP($A19,'Present Values'!$A:$F,2),2)</f>
        <v>4573.8900000000003</v>
      </c>
      <c r="DH19">
        <f>ROUND(F19*VLOOKUP($A19,'Present Values'!$A:$F,4)/VLOOKUP($A19,'Present Values'!$A:$F,2),2)</f>
        <v>4677.6099999999997</v>
      </c>
      <c r="DI19">
        <f>ROUND(G19*VLOOKUP($A19,'Present Values'!$A:$F,4)/VLOOKUP($A19,'Present Values'!$A:$F,2),2)</f>
        <v>4764.18</v>
      </c>
      <c r="DJ19">
        <f>ROUND(H19*VLOOKUP($A19,'Present Values'!$A:$F,4)/VLOOKUP($A19,'Present Values'!$A:$F,2),2)</f>
        <v>4830.2299999999996</v>
      </c>
      <c r="DK19">
        <f>ROUND(I19*VLOOKUP($A19,'Present Values'!$A:$F,4)/VLOOKUP($A19,'Present Values'!$A:$F,2),2)</f>
        <v>4871.63</v>
      </c>
      <c r="DL19">
        <f>ROUND(J19*VLOOKUP($A19,'Present Values'!$A:$F,4)/VLOOKUP($A19,'Present Values'!$A:$F,2),2)</f>
        <v>4884.28</v>
      </c>
      <c r="DM19">
        <f>ROUND(K19*VLOOKUP($A19,'Present Values'!$A:$F,4)/VLOOKUP($A19,'Present Values'!$A:$F,2),2)</f>
        <v>4865.08</v>
      </c>
      <c r="DN19">
        <f>ROUND(L19*VLOOKUP($A19,'Present Values'!$A:$F,4)/VLOOKUP($A19,'Present Values'!$A:$F,2),2)</f>
        <v>4812.07</v>
      </c>
      <c r="DO19">
        <f>ROUND(M19*VLOOKUP($A19,'Present Values'!$A:$F,4)/VLOOKUP($A19,'Present Values'!$A:$F,2),2)</f>
        <v>4722.9399999999996</v>
      </c>
      <c r="DP19">
        <f>ROUND(N19*VLOOKUP($A19,'Present Values'!$A:$F,4)/VLOOKUP($A19,'Present Values'!$A:$F,2),2)</f>
        <v>4595.6400000000003</v>
      </c>
      <c r="DQ19">
        <f>ROUND(O19*VLOOKUP($A19,'Present Values'!$A:$F,4)/VLOOKUP($A19,'Present Values'!$A:$F,2),2)</f>
        <v>4420.1899999999996</v>
      </c>
      <c r="DR19">
        <f>ROUND(P19*VLOOKUP($A19,'Present Values'!$A:$F,4)/VLOOKUP($A19,'Present Values'!$A:$F,2),2)</f>
        <v>4194.6000000000004</v>
      </c>
      <c r="DS19">
        <f>ROUND(Q19*VLOOKUP($A19,'Present Values'!$A:$F,4)/VLOOKUP($A19,'Present Values'!$A:$F,2),2)</f>
        <v>3919.57</v>
      </c>
      <c r="DT19">
        <f>ROUND(R19*VLOOKUP($A19,'Present Values'!$A:$F,4)/VLOOKUP($A19,'Present Values'!$A:$F,2),2)</f>
        <v>3598.66</v>
      </c>
      <c r="DU19">
        <f>ROUND(S19*VLOOKUP($A19,'Present Values'!$A:$F,4)/VLOOKUP($A19,'Present Values'!$A:$F,2),2)</f>
        <v>3239.47</v>
      </c>
      <c r="DV19">
        <f>ROUND(T19*VLOOKUP($A19,'Present Values'!$A:$F,4)/VLOOKUP($A19,'Present Values'!$A:$F,2),2)</f>
        <v>2854.04</v>
      </c>
      <c r="DW19">
        <f>ROUND(U19*VLOOKUP($A19,'Present Values'!$A:$F,4)/VLOOKUP($A19,'Present Values'!$A:$F,2),2)</f>
        <v>2457.1999999999998</v>
      </c>
      <c r="DX19">
        <f>ROUND(V19*VLOOKUP($A19,'Present Values'!$A:$F,4)/VLOOKUP($A19,'Present Values'!$A:$F,2),2)</f>
        <v>2064.1799999999998</v>
      </c>
      <c r="DY19">
        <f>ROUND(W19*VLOOKUP($A19,'Present Values'!$A:$F,4)/VLOOKUP($A19,'Present Values'!$A:$F,2),2)</f>
        <v>1688.94</v>
      </c>
      <c r="DZ19">
        <f>ROUND(X19*VLOOKUP($A19,'Present Values'!$A:$F,4)/VLOOKUP($A19,'Present Values'!$A:$F,2),2)</f>
        <v>1343.38</v>
      </c>
      <c r="EA19">
        <f>ROUND(Y19*VLOOKUP($A19,'Present Values'!$A:$F,4)/VLOOKUP($A19,'Present Values'!$A:$F,2),2)</f>
        <v>1036.56</v>
      </c>
      <c r="EB19">
        <f>ROUND(Z19*VLOOKUP($A19,'Present Values'!$A:$F,4)/VLOOKUP($A19,'Present Values'!$A:$F,2),2)</f>
        <v>780.47</v>
      </c>
      <c r="EC19">
        <f>ROUND(AA19*VLOOKUP($A19,'Present Values'!$A:$F,4)/VLOOKUP($A19,'Present Values'!$A:$F,2),2)</f>
        <v>568.04</v>
      </c>
      <c r="ED19">
        <f>ROUND(AB19*VLOOKUP($A19,'Present Values'!$A:$F,4)/VLOOKUP($A19,'Present Values'!$A:$F,2),2)</f>
        <v>404.3</v>
      </c>
      <c r="EE19">
        <f>ROUND(AC19*VLOOKUP($A19,'Present Values'!$A:$F,4)/VLOOKUP($A19,'Present Values'!$A:$F,2),2)</f>
        <v>272.8</v>
      </c>
      <c r="EF19">
        <f>ROUND(AD19*VLOOKUP($A19,'Present Values'!$A:$F,4)/VLOOKUP($A19,'Present Values'!$A:$F,2),2)</f>
        <v>173.5</v>
      </c>
      <c r="EG19">
        <f>ROUND(AE19*VLOOKUP($A19,'Present Values'!$A:$F,4)/VLOOKUP($A19,'Present Values'!$A:$F,2),2)</f>
        <v>99.71</v>
      </c>
      <c r="EH19">
        <f>ROUND(AF19*VLOOKUP($A19,'Present Values'!$A:$F,4)/VLOOKUP($A19,'Present Values'!$A:$F,2),2)</f>
        <v>50.42</v>
      </c>
      <c r="EI19">
        <f>ROUND(AG19*VLOOKUP($A19,'Present Values'!$A:$F,4)/VLOOKUP($A19,'Present Values'!$A:$F,2),2)</f>
        <v>22.06</v>
      </c>
      <c r="EJ19">
        <f>ROUND(AH19*VLOOKUP($A19,'Present Values'!$A:$F,4)/VLOOKUP($A19,'Present Values'!$A:$F,2),2)</f>
        <v>8.27</v>
      </c>
      <c r="EK19">
        <f>ROUND(AI19*VLOOKUP($A19,'Present Values'!$A:$F,4)/VLOOKUP($A19,'Present Values'!$A:$F,2),2)</f>
        <v>2.5299999999999998</v>
      </c>
      <c r="EL19">
        <f>ROUND(AJ19*VLOOKUP($A19,'Present Values'!$A:$F,4)/VLOOKUP($A19,'Present Values'!$A:$F,2),2)</f>
        <v>0.57999999999999996</v>
      </c>
      <c r="EM19">
        <f>ROUND(AK19*VLOOKUP($A19,'Present Values'!$A:$F,4)/VLOOKUP($A19,'Present Values'!$A:$F,2),2)</f>
        <v>0.08</v>
      </c>
      <c r="EN19">
        <f>ROUND(AL19*VLOOKUP($A19,'Present Values'!$A:$F,4)/VLOOKUP($A19,'Present Values'!$A:$F,2),2)</f>
        <v>0</v>
      </c>
      <c r="EO19">
        <f>ROUND(AM19*VLOOKUP($A19,'Present Values'!$A:$F,4)/VLOOKUP($A19,'Present Values'!$A:$F,2),2)</f>
        <v>0</v>
      </c>
      <c r="EP19">
        <f>ROUND(AN19*VLOOKUP($A19,'Present Values'!$A:$F,4)/VLOOKUP($A19,'Present Values'!$A:$F,2),2)</f>
        <v>0</v>
      </c>
      <c r="EQ19">
        <f>ROUND(AO19*VLOOKUP($A19,'Present Values'!$A:$F,4)/VLOOKUP($A19,'Present Values'!$A:$F,2),2)</f>
        <v>0</v>
      </c>
      <c r="ER19">
        <f>ROUND(AP19*VLOOKUP($A19,'Present Values'!$A:$F,4)/VLOOKUP($A19,'Present Values'!$A:$F,2),2)</f>
        <v>0</v>
      </c>
      <c r="ES19">
        <f>ROUND(AQ19*VLOOKUP($A19,'Present Values'!$A:$F,4)/VLOOKUP($A19,'Present Values'!$A:$F,2),2)</f>
        <v>0</v>
      </c>
      <c r="ET19">
        <f>ROUND(AR19*VLOOKUP($A19,'Present Values'!$A:$F,4)/VLOOKUP($A19,'Present Values'!$A:$F,2),2)</f>
        <v>0</v>
      </c>
      <c r="EU19">
        <f>ROUND(AS19*VLOOKUP($A19,'Present Values'!$A:$F,4)/VLOOKUP($A19,'Present Values'!$A:$F,2),2)</f>
        <v>0</v>
      </c>
      <c r="EV19">
        <f>ROUND(AT19*VLOOKUP($A19,'Present Values'!$A:$F,4)/VLOOKUP($A19,'Present Values'!$A:$F,2),2)</f>
        <v>0</v>
      </c>
      <c r="EW19">
        <f>ROUND(AU19*VLOOKUP($A19,'Present Values'!$A:$F,4)/VLOOKUP($A19,'Present Values'!$A:$F,2),2)</f>
        <v>0</v>
      </c>
      <c r="EX19">
        <f>ROUND(AV19*VLOOKUP($A19,'Present Values'!$A:$F,4)/VLOOKUP($A19,'Present Values'!$A:$F,2),2)</f>
        <v>0</v>
      </c>
      <c r="EY19">
        <f>ROUND(AW19*VLOOKUP($A19,'Present Values'!$A:$F,4)/VLOOKUP($A19,'Present Values'!$A:$F,2),2)</f>
        <v>0</v>
      </c>
      <c r="EZ19">
        <f>ROUND(AX19*VLOOKUP($A19,'Present Values'!$A:$F,4)/VLOOKUP($A19,'Present Values'!$A:$F,2),2)</f>
        <v>0</v>
      </c>
      <c r="FA19">
        <f>ROUND(AY19*VLOOKUP($A19,'Present Values'!$A:$F,4)/VLOOKUP($A19,'Present Values'!$A:$F,2),2)</f>
        <v>0</v>
      </c>
      <c r="FB19">
        <f>ROUND(AZ19*VLOOKUP($A19,'Present Values'!$A:$F,4)/VLOOKUP($A19,'Present Values'!$A:$F,2),2)</f>
        <v>0</v>
      </c>
      <c r="FC19">
        <f>ROUND(BA19*VLOOKUP($A19,'Present Values'!$A:$F,4)/VLOOKUP($A19,'Present Values'!$A:$F,2),2)</f>
        <v>0</v>
      </c>
      <c r="FD19">
        <f>ROUND(BB19*VLOOKUP($A19,'Present Values'!$A:$F,4)/VLOOKUP($A19,'Present Values'!$A:$F,2),2)</f>
        <v>0</v>
      </c>
      <c r="FE19">
        <f>ROUND(BC19*VLOOKUP($A19,'Present Values'!$A:$F,4)/VLOOKUP($A19,'Present Values'!$A:$F,2),2)</f>
        <v>0</v>
      </c>
      <c r="FF19">
        <f>ROUND(BD19*VLOOKUP($A19,'Present Values'!$A:$F,4)/VLOOKUP($A19,'Present Values'!$A:$F,2),2)</f>
        <v>0</v>
      </c>
      <c r="FG19">
        <f>ROUND(BE19*VLOOKUP($A19,'Present Values'!$A:$F,4)/VLOOKUP($A19,'Present Values'!$A:$F,2),2)</f>
        <v>0</v>
      </c>
      <c r="FH19">
        <f>ROUND(BF19*VLOOKUP($A19,'Present Values'!$A:$F,4)/VLOOKUP($A19,'Present Values'!$A:$F,2),2)</f>
        <v>0</v>
      </c>
      <c r="FI19">
        <f>ROUND(BG19*VLOOKUP($A19,'Present Values'!$A:$F,4)/VLOOKUP($A19,'Present Values'!$A:$F,2),2)</f>
        <v>0</v>
      </c>
      <c r="FJ19">
        <f>ROUND(BH19*VLOOKUP($A19,'Present Values'!$A:$F,4)/VLOOKUP($A19,'Present Values'!$A:$F,2),2)</f>
        <v>0</v>
      </c>
      <c r="FK19">
        <f>ROUND(BI19*VLOOKUP($A19,'Present Values'!$A:$F,4)/VLOOKUP($A19,'Present Values'!$A:$F,2),2)</f>
        <v>0</v>
      </c>
      <c r="FL19">
        <f>ROUND(BJ19*VLOOKUP($A19,'Present Values'!$A:$F,4)/VLOOKUP($A19,'Present Values'!$A:$F,2),2)</f>
        <v>0</v>
      </c>
      <c r="FM19">
        <f>ROUND(BK19*VLOOKUP($A19,'Present Values'!$A:$F,4)/VLOOKUP($A19,'Present Values'!$A:$F,2),2)</f>
        <v>0</v>
      </c>
      <c r="FN19">
        <f>ROUND(BL19*VLOOKUP($A19,'Present Values'!$A:$F,4)/VLOOKUP($A19,'Present Values'!$A:$F,2),2)</f>
        <v>0</v>
      </c>
      <c r="FO19">
        <f>ROUND(BM19*VLOOKUP($A19,'Present Values'!$A:$F,4)/VLOOKUP($A19,'Present Values'!$A:$F,2),2)</f>
        <v>0</v>
      </c>
      <c r="FP19">
        <f>ROUND(BN19*VLOOKUP($A19,'Present Values'!$A:$F,4)/VLOOKUP($A19,'Present Values'!$A:$F,2),2)</f>
        <v>0</v>
      </c>
      <c r="FQ19">
        <f>ROUND(BO19*VLOOKUP($A19,'Present Values'!$A:$F,4)/VLOOKUP($A19,'Present Values'!$A:$F,2),2)</f>
        <v>0</v>
      </c>
      <c r="FR19">
        <f>ROUND(BP19*VLOOKUP($A19,'Present Values'!$A:$F,4)/VLOOKUP($A19,'Present Values'!$A:$F,2),2)</f>
        <v>0</v>
      </c>
      <c r="FS19">
        <f>ROUND(BQ19*VLOOKUP($A19,'Present Values'!$A:$F,4)/VLOOKUP($A19,'Present Values'!$A:$F,2),2)</f>
        <v>0</v>
      </c>
      <c r="FT19">
        <f>ROUND(BR19*VLOOKUP($A19,'Present Values'!$A:$F,4)/VLOOKUP($A19,'Present Values'!$A:$F,2),2)</f>
        <v>0</v>
      </c>
      <c r="FU19">
        <f>ROUND(BS19*VLOOKUP($A19,'Present Values'!$A:$F,4)/VLOOKUP($A19,'Present Values'!$A:$F,2),2)</f>
        <v>0</v>
      </c>
      <c r="FV19">
        <f>ROUND(BT19*VLOOKUP($A19,'Present Values'!$A:$F,4)/VLOOKUP($A19,'Present Values'!$A:$F,2),2)</f>
        <v>0</v>
      </c>
      <c r="FW19">
        <f>ROUND(BU19*VLOOKUP($A19,'Present Values'!$A:$F,4)/VLOOKUP($A19,'Present Values'!$A:$F,2),2)</f>
        <v>0</v>
      </c>
      <c r="FX19">
        <f>ROUND(BV19*VLOOKUP($A19,'Present Values'!$A:$F,4)/VLOOKUP($A19,'Present Values'!$A:$F,2),2)</f>
        <v>0</v>
      </c>
      <c r="FY19">
        <f>ROUND(BW19*VLOOKUP($A19,'Present Values'!$A:$F,4)/VLOOKUP($A19,'Present Values'!$A:$F,2),2)</f>
        <v>0</v>
      </c>
      <c r="FZ19">
        <f>ROUND(BX19*VLOOKUP($A19,'Present Values'!$A:$F,4)/VLOOKUP($A19,'Present Values'!$A:$F,2),2)</f>
        <v>0</v>
      </c>
      <c r="GA19">
        <f>ROUND(BY19*VLOOKUP($A19,'Present Values'!$A:$F,4)/VLOOKUP($A19,'Present Values'!$A:$F,2),2)</f>
        <v>0</v>
      </c>
      <c r="GB19">
        <f>ROUND(BZ19*VLOOKUP($A19,'Present Values'!$A:$F,4)/VLOOKUP($A19,'Present Values'!$A:$F,2),2)</f>
        <v>0</v>
      </c>
      <c r="GC19">
        <f>ROUND(CA19*VLOOKUP($A19,'Present Values'!$A:$F,4)/VLOOKUP($A19,'Present Values'!$A:$F,2),2)</f>
        <v>0</v>
      </c>
      <c r="GD19">
        <f>ROUND(CB19*VLOOKUP($A19,'Present Values'!$A:$F,4)/VLOOKUP($A19,'Present Values'!$A:$F,2),2)</f>
        <v>0</v>
      </c>
      <c r="GE19">
        <f>ROUND(CC19*VLOOKUP($A19,'Present Values'!$A:$F,4)/VLOOKUP($A19,'Present Values'!$A:$F,2),2)</f>
        <v>0</v>
      </c>
      <c r="GF19">
        <f>ROUND(CD19*VLOOKUP($A19,'Present Values'!$A:$F,4)/VLOOKUP($A19,'Present Values'!$A:$F,2),2)</f>
        <v>0</v>
      </c>
      <c r="GG19">
        <f>ROUND(CE19*VLOOKUP($A19,'Present Values'!$A:$F,4)/VLOOKUP($A19,'Present Values'!$A:$F,2),2)</f>
        <v>0</v>
      </c>
      <c r="GH19">
        <f>ROUND(CF19*VLOOKUP($A19,'Present Values'!$A:$F,4)/VLOOKUP($A19,'Present Values'!$A:$F,2),2)</f>
        <v>0</v>
      </c>
      <c r="GI19">
        <f>ROUND(CG19*VLOOKUP($A19,'Present Values'!$A:$F,4)/VLOOKUP($A19,'Present Values'!$A:$F,2),2)</f>
        <v>0</v>
      </c>
      <c r="GJ19">
        <f>ROUND(CH19*VLOOKUP($A19,'Present Values'!$A:$F,4)/VLOOKUP($A19,'Present Values'!$A:$F,2),2)</f>
        <v>0</v>
      </c>
      <c r="GK19">
        <f>ROUND(CI19*VLOOKUP($A19,'Present Values'!$A:$F,4)/VLOOKUP($A19,'Present Values'!$A:$F,2),2)</f>
        <v>0</v>
      </c>
      <c r="GL19">
        <f>ROUND(CJ19*VLOOKUP($A19,'Present Values'!$A:$F,4)/VLOOKUP($A19,'Present Values'!$A:$F,2),2)</f>
        <v>0</v>
      </c>
      <c r="GM19">
        <f>ROUND(CK19*VLOOKUP($A19,'Present Values'!$A:$F,4)/VLOOKUP($A19,'Present Values'!$A:$F,2),2)</f>
        <v>0</v>
      </c>
      <c r="GN19">
        <f>ROUND(CL19*VLOOKUP($A19,'Present Values'!$A:$F,4)/VLOOKUP($A19,'Present Values'!$A:$F,2),2)</f>
        <v>0</v>
      </c>
      <c r="GO19">
        <f>ROUND(CM19*VLOOKUP($A19,'Present Values'!$A:$F,4)/VLOOKUP($A19,'Present Values'!$A:$F,2),2)</f>
        <v>0</v>
      </c>
      <c r="GP19">
        <f>ROUND(CN19*VLOOKUP($A19,'Present Values'!$A:$F,4)/VLOOKUP($A19,'Present Values'!$A:$F,2),2)</f>
        <v>0</v>
      </c>
      <c r="GQ19">
        <f>ROUND(CO19*VLOOKUP($A19,'Present Values'!$A:$F,4)/VLOOKUP($A19,'Present Values'!$A:$F,2),2)</f>
        <v>0</v>
      </c>
      <c r="GR19">
        <f>ROUND(CP19*VLOOKUP($A19,'Present Values'!$A:$F,4)/VLOOKUP($A19,'Present Values'!$A:$F,2),2)</f>
        <v>0</v>
      </c>
      <c r="GS19">
        <f>ROUND(CQ19*VLOOKUP($A19,'Present Values'!$A:$F,4)/VLOOKUP($A19,'Present Values'!$A:$F,2),2)</f>
        <v>0</v>
      </c>
      <c r="GT19">
        <f>ROUND(CR19*VLOOKUP($A19,'Present Values'!$A:$F,4)/VLOOKUP($A19,'Present Values'!$A:$F,2),2)</f>
        <v>0</v>
      </c>
      <c r="GU19">
        <f>ROUND(CS19*VLOOKUP($A19,'Present Values'!$A:$F,4)/VLOOKUP($A19,'Present Values'!$A:$F,2),2)</f>
        <v>0</v>
      </c>
      <c r="GV19">
        <f>ROUND(CT19*VLOOKUP($A19,'Present Values'!$A:$F,4)/VLOOKUP($A19,'Present Values'!$A:$F,2),2)</f>
        <v>0</v>
      </c>
      <c r="GW19">
        <f>ROUND(CU19*VLOOKUP($A19,'Present Values'!$A:$F,4)/VLOOKUP($A19,'Present Values'!$A:$F,2),2)</f>
        <v>0</v>
      </c>
      <c r="GX19">
        <f>ROUND(CV19*VLOOKUP($A19,'Present Values'!$A:$F,4)/VLOOKUP($A19,'Present Values'!$A:$F,2),2)</f>
        <v>0</v>
      </c>
      <c r="GY19">
        <f>ROUND(CW19*VLOOKUP($A19,'Present Values'!$A:$F,4)/VLOOKUP($A19,'Present Values'!$A:$F,2),2)</f>
        <v>0</v>
      </c>
      <c r="HA19" s="3">
        <f>NPV(Assumptions!$C$9, DD19:GY19)*(1+Assumptions!$C$9)</f>
        <v>66196.779395175297</v>
      </c>
      <c r="HB19" s="12">
        <f>'Present Values'!D19</f>
        <v>66196.800000000003</v>
      </c>
      <c r="HD19" s="3">
        <f>NPV(Assumptions!$C$9+0.01,Payouts!$B19:$CW19)*(1.01+Assumptions!$C$9)</f>
        <v>61060.603813639107</v>
      </c>
      <c r="HE19" s="3">
        <f>NPV(Assumptions!$C$9-0.01,Payouts!$B19:$CW19)*(0.99+Assumptions!$C$9)</f>
        <v>72075.359280485267</v>
      </c>
      <c r="HG19" s="3">
        <f>IF(AND(AMMset!D16&gt;0,'Present Values'!F19&gt;0),NPV(Assumptions!$C$9+0.01,Payouts!$DD19:$GY19)*(1.01+Assumptions!$C$9)/AMMset!D16, 0)</f>
        <v>0</v>
      </c>
      <c r="HH19" s="3">
        <f>IF(AND(AMMset!D16&gt;0,'Present Values'!F19&gt;0),NPV(Assumptions!$C$9-0.01,Payouts!$DD19:$GY19)*(0.99+Assumptions!$C$9)/AMMset!D16, 0)</f>
        <v>0</v>
      </c>
      <c r="HJ19" s="12">
        <v>0</v>
      </c>
      <c r="HK19" s="12">
        <v>0</v>
      </c>
      <c r="HM19" s="12">
        <v>61060.6</v>
      </c>
      <c r="HN19" s="12">
        <v>72075.360000000001</v>
      </c>
    </row>
    <row r="20" spans="1:222" x14ac:dyDescent="0.25">
      <c r="A20">
        <v>16</v>
      </c>
      <c r="B20">
        <v>4197</v>
      </c>
      <c r="C20">
        <v>4379.05</v>
      </c>
      <c r="D20">
        <v>4563.07</v>
      </c>
      <c r="E20">
        <v>4747.6899999999996</v>
      </c>
      <c r="F20">
        <v>4931.53</v>
      </c>
      <c r="G20">
        <v>5113.17</v>
      </c>
      <c r="H20">
        <v>5290.98</v>
      </c>
      <c r="I20">
        <v>5463.15</v>
      </c>
      <c r="J20">
        <v>5627.72</v>
      </c>
      <c r="K20">
        <v>5782.22</v>
      </c>
      <c r="L20">
        <v>5923.21</v>
      </c>
      <c r="M20">
        <v>6046.27</v>
      </c>
      <c r="N20">
        <v>6146.31</v>
      </c>
      <c r="O20">
        <v>6218.17</v>
      </c>
      <c r="P20">
        <v>6256.11</v>
      </c>
      <c r="Q20">
        <v>6254.15</v>
      </c>
      <c r="R20">
        <v>6206.46</v>
      </c>
      <c r="S20">
        <v>6107.61</v>
      </c>
      <c r="T20">
        <v>5953.24</v>
      </c>
      <c r="U20">
        <v>5740.59</v>
      </c>
      <c r="V20">
        <v>5457.54</v>
      </c>
      <c r="W20">
        <v>5106.5</v>
      </c>
      <c r="X20">
        <v>4694.22</v>
      </c>
      <c r="Y20">
        <v>4230.99</v>
      </c>
      <c r="Z20">
        <v>3729.91</v>
      </c>
      <c r="AA20">
        <v>3207.5</v>
      </c>
      <c r="AB20">
        <v>2684.05</v>
      </c>
      <c r="AC20">
        <v>2181.58</v>
      </c>
      <c r="AD20">
        <v>1731.95</v>
      </c>
      <c r="AE20">
        <v>1334.17</v>
      </c>
      <c r="AF20">
        <v>985.05</v>
      </c>
      <c r="AG20">
        <v>690.24</v>
      </c>
      <c r="AH20">
        <v>456.72</v>
      </c>
      <c r="AI20">
        <v>274.62</v>
      </c>
      <c r="AJ20">
        <v>146.36000000000001</v>
      </c>
      <c r="AK20">
        <v>67.8</v>
      </c>
      <c r="AL20">
        <v>26.95</v>
      </c>
      <c r="AM20">
        <v>8.74</v>
      </c>
      <c r="AN20">
        <v>2.13</v>
      </c>
      <c r="AO20">
        <v>0.33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Y20" s="3">
        <f>NPV(Assumptions!$C$9, B20:CW20)*(1+Assumptions!$C$9)</f>
        <v>93067.650422798586</v>
      </c>
      <c r="CZ20" s="12">
        <f>'Present Values'!B20</f>
        <v>93067.63</v>
      </c>
      <c r="DD20">
        <f>ROUND(B20*VLOOKUP($A20,'Present Values'!$A:$F,4)/VLOOKUP($A20,'Present Values'!$A:$F,2),2)</f>
        <v>4197</v>
      </c>
      <c r="DE20">
        <f>ROUND(C20*VLOOKUP($A20,'Present Values'!$A:$F,4)/VLOOKUP($A20,'Present Values'!$A:$F,2),2)</f>
        <v>4379.05</v>
      </c>
      <c r="DF20">
        <f>ROUND(D20*VLOOKUP($A20,'Present Values'!$A:$F,4)/VLOOKUP($A20,'Present Values'!$A:$F,2),2)</f>
        <v>4563.07</v>
      </c>
      <c r="DG20">
        <f>ROUND(E20*VLOOKUP($A20,'Present Values'!$A:$F,4)/VLOOKUP($A20,'Present Values'!$A:$F,2),2)</f>
        <v>4747.6899999999996</v>
      </c>
      <c r="DH20">
        <f>ROUND(F20*VLOOKUP($A20,'Present Values'!$A:$F,4)/VLOOKUP($A20,'Present Values'!$A:$F,2),2)</f>
        <v>4931.53</v>
      </c>
      <c r="DI20">
        <f>ROUND(G20*VLOOKUP($A20,'Present Values'!$A:$F,4)/VLOOKUP($A20,'Present Values'!$A:$F,2),2)</f>
        <v>5113.17</v>
      </c>
      <c r="DJ20">
        <f>ROUND(H20*VLOOKUP($A20,'Present Values'!$A:$F,4)/VLOOKUP($A20,'Present Values'!$A:$F,2),2)</f>
        <v>5290.98</v>
      </c>
      <c r="DK20">
        <f>ROUND(I20*VLOOKUP($A20,'Present Values'!$A:$F,4)/VLOOKUP($A20,'Present Values'!$A:$F,2),2)</f>
        <v>5463.15</v>
      </c>
      <c r="DL20">
        <f>ROUND(J20*VLOOKUP($A20,'Present Values'!$A:$F,4)/VLOOKUP($A20,'Present Values'!$A:$F,2),2)</f>
        <v>5627.72</v>
      </c>
      <c r="DM20">
        <f>ROUND(K20*VLOOKUP($A20,'Present Values'!$A:$F,4)/VLOOKUP($A20,'Present Values'!$A:$F,2),2)</f>
        <v>5782.22</v>
      </c>
      <c r="DN20">
        <f>ROUND(L20*VLOOKUP($A20,'Present Values'!$A:$F,4)/VLOOKUP($A20,'Present Values'!$A:$F,2),2)</f>
        <v>5923.21</v>
      </c>
      <c r="DO20">
        <f>ROUND(M20*VLOOKUP($A20,'Present Values'!$A:$F,4)/VLOOKUP($A20,'Present Values'!$A:$F,2),2)</f>
        <v>6046.27</v>
      </c>
      <c r="DP20">
        <f>ROUND(N20*VLOOKUP($A20,'Present Values'!$A:$F,4)/VLOOKUP($A20,'Present Values'!$A:$F,2),2)</f>
        <v>6146.31</v>
      </c>
      <c r="DQ20">
        <f>ROUND(O20*VLOOKUP($A20,'Present Values'!$A:$F,4)/VLOOKUP($A20,'Present Values'!$A:$F,2),2)</f>
        <v>6218.17</v>
      </c>
      <c r="DR20">
        <f>ROUND(P20*VLOOKUP($A20,'Present Values'!$A:$F,4)/VLOOKUP($A20,'Present Values'!$A:$F,2),2)</f>
        <v>6256.11</v>
      </c>
      <c r="DS20">
        <f>ROUND(Q20*VLOOKUP($A20,'Present Values'!$A:$F,4)/VLOOKUP($A20,'Present Values'!$A:$F,2),2)</f>
        <v>6254.15</v>
      </c>
      <c r="DT20">
        <f>ROUND(R20*VLOOKUP($A20,'Present Values'!$A:$F,4)/VLOOKUP($A20,'Present Values'!$A:$F,2),2)</f>
        <v>6206.46</v>
      </c>
      <c r="DU20">
        <f>ROUND(S20*VLOOKUP($A20,'Present Values'!$A:$F,4)/VLOOKUP($A20,'Present Values'!$A:$F,2),2)</f>
        <v>6107.61</v>
      </c>
      <c r="DV20">
        <f>ROUND(T20*VLOOKUP($A20,'Present Values'!$A:$F,4)/VLOOKUP($A20,'Present Values'!$A:$F,2),2)</f>
        <v>5953.24</v>
      </c>
      <c r="DW20">
        <f>ROUND(U20*VLOOKUP($A20,'Present Values'!$A:$F,4)/VLOOKUP($A20,'Present Values'!$A:$F,2),2)</f>
        <v>5740.59</v>
      </c>
      <c r="DX20">
        <f>ROUND(V20*VLOOKUP($A20,'Present Values'!$A:$F,4)/VLOOKUP($A20,'Present Values'!$A:$F,2),2)</f>
        <v>5457.54</v>
      </c>
      <c r="DY20">
        <f>ROUND(W20*VLOOKUP($A20,'Present Values'!$A:$F,4)/VLOOKUP($A20,'Present Values'!$A:$F,2),2)</f>
        <v>5106.5</v>
      </c>
      <c r="DZ20">
        <f>ROUND(X20*VLOOKUP($A20,'Present Values'!$A:$F,4)/VLOOKUP($A20,'Present Values'!$A:$F,2),2)</f>
        <v>4694.22</v>
      </c>
      <c r="EA20">
        <f>ROUND(Y20*VLOOKUP($A20,'Present Values'!$A:$F,4)/VLOOKUP($A20,'Present Values'!$A:$F,2),2)</f>
        <v>4230.99</v>
      </c>
      <c r="EB20">
        <f>ROUND(Z20*VLOOKUP($A20,'Present Values'!$A:$F,4)/VLOOKUP($A20,'Present Values'!$A:$F,2),2)</f>
        <v>3729.91</v>
      </c>
      <c r="EC20">
        <f>ROUND(AA20*VLOOKUP($A20,'Present Values'!$A:$F,4)/VLOOKUP($A20,'Present Values'!$A:$F,2),2)</f>
        <v>3207.5</v>
      </c>
      <c r="ED20">
        <f>ROUND(AB20*VLOOKUP($A20,'Present Values'!$A:$F,4)/VLOOKUP($A20,'Present Values'!$A:$F,2),2)</f>
        <v>2684.05</v>
      </c>
      <c r="EE20">
        <f>ROUND(AC20*VLOOKUP($A20,'Present Values'!$A:$F,4)/VLOOKUP($A20,'Present Values'!$A:$F,2),2)</f>
        <v>2181.58</v>
      </c>
      <c r="EF20">
        <f>ROUND(AD20*VLOOKUP($A20,'Present Values'!$A:$F,4)/VLOOKUP($A20,'Present Values'!$A:$F,2),2)</f>
        <v>1731.95</v>
      </c>
      <c r="EG20">
        <f>ROUND(AE20*VLOOKUP($A20,'Present Values'!$A:$F,4)/VLOOKUP($A20,'Present Values'!$A:$F,2),2)</f>
        <v>1334.17</v>
      </c>
      <c r="EH20">
        <f>ROUND(AF20*VLOOKUP($A20,'Present Values'!$A:$F,4)/VLOOKUP($A20,'Present Values'!$A:$F,2),2)</f>
        <v>985.05</v>
      </c>
      <c r="EI20">
        <f>ROUND(AG20*VLOOKUP($A20,'Present Values'!$A:$F,4)/VLOOKUP($A20,'Present Values'!$A:$F,2),2)</f>
        <v>690.24</v>
      </c>
      <c r="EJ20">
        <f>ROUND(AH20*VLOOKUP($A20,'Present Values'!$A:$F,4)/VLOOKUP($A20,'Present Values'!$A:$F,2),2)</f>
        <v>456.72</v>
      </c>
      <c r="EK20">
        <f>ROUND(AI20*VLOOKUP($A20,'Present Values'!$A:$F,4)/VLOOKUP($A20,'Present Values'!$A:$F,2),2)</f>
        <v>274.62</v>
      </c>
      <c r="EL20">
        <f>ROUND(AJ20*VLOOKUP($A20,'Present Values'!$A:$F,4)/VLOOKUP($A20,'Present Values'!$A:$F,2),2)</f>
        <v>146.36000000000001</v>
      </c>
      <c r="EM20">
        <f>ROUND(AK20*VLOOKUP($A20,'Present Values'!$A:$F,4)/VLOOKUP($A20,'Present Values'!$A:$F,2),2)</f>
        <v>67.8</v>
      </c>
      <c r="EN20">
        <f>ROUND(AL20*VLOOKUP($A20,'Present Values'!$A:$F,4)/VLOOKUP($A20,'Present Values'!$A:$F,2),2)</f>
        <v>26.95</v>
      </c>
      <c r="EO20">
        <f>ROUND(AM20*VLOOKUP($A20,'Present Values'!$A:$F,4)/VLOOKUP($A20,'Present Values'!$A:$F,2),2)</f>
        <v>8.74</v>
      </c>
      <c r="EP20">
        <f>ROUND(AN20*VLOOKUP($A20,'Present Values'!$A:$F,4)/VLOOKUP($A20,'Present Values'!$A:$F,2),2)</f>
        <v>2.13</v>
      </c>
      <c r="EQ20">
        <f>ROUND(AO20*VLOOKUP($A20,'Present Values'!$A:$F,4)/VLOOKUP($A20,'Present Values'!$A:$F,2),2)</f>
        <v>0.33</v>
      </c>
      <c r="ER20">
        <f>ROUND(AP20*VLOOKUP($A20,'Present Values'!$A:$F,4)/VLOOKUP($A20,'Present Values'!$A:$F,2),2)</f>
        <v>0</v>
      </c>
      <c r="ES20">
        <f>ROUND(AQ20*VLOOKUP($A20,'Present Values'!$A:$F,4)/VLOOKUP($A20,'Present Values'!$A:$F,2),2)</f>
        <v>0</v>
      </c>
      <c r="ET20">
        <f>ROUND(AR20*VLOOKUP($A20,'Present Values'!$A:$F,4)/VLOOKUP($A20,'Present Values'!$A:$F,2),2)</f>
        <v>0</v>
      </c>
      <c r="EU20">
        <f>ROUND(AS20*VLOOKUP($A20,'Present Values'!$A:$F,4)/VLOOKUP($A20,'Present Values'!$A:$F,2),2)</f>
        <v>0</v>
      </c>
      <c r="EV20">
        <f>ROUND(AT20*VLOOKUP($A20,'Present Values'!$A:$F,4)/VLOOKUP($A20,'Present Values'!$A:$F,2),2)</f>
        <v>0</v>
      </c>
      <c r="EW20">
        <f>ROUND(AU20*VLOOKUP($A20,'Present Values'!$A:$F,4)/VLOOKUP($A20,'Present Values'!$A:$F,2),2)</f>
        <v>0</v>
      </c>
      <c r="EX20">
        <f>ROUND(AV20*VLOOKUP($A20,'Present Values'!$A:$F,4)/VLOOKUP($A20,'Present Values'!$A:$F,2),2)</f>
        <v>0</v>
      </c>
      <c r="EY20">
        <f>ROUND(AW20*VLOOKUP($A20,'Present Values'!$A:$F,4)/VLOOKUP($A20,'Present Values'!$A:$F,2),2)</f>
        <v>0</v>
      </c>
      <c r="EZ20">
        <f>ROUND(AX20*VLOOKUP($A20,'Present Values'!$A:$F,4)/VLOOKUP($A20,'Present Values'!$A:$F,2),2)</f>
        <v>0</v>
      </c>
      <c r="FA20">
        <f>ROUND(AY20*VLOOKUP($A20,'Present Values'!$A:$F,4)/VLOOKUP($A20,'Present Values'!$A:$F,2),2)</f>
        <v>0</v>
      </c>
      <c r="FB20">
        <f>ROUND(AZ20*VLOOKUP($A20,'Present Values'!$A:$F,4)/VLOOKUP($A20,'Present Values'!$A:$F,2),2)</f>
        <v>0</v>
      </c>
      <c r="FC20">
        <f>ROUND(BA20*VLOOKUP($A20,'Present Values'!$A:$F,4)/VLOOKUP($A20,'Present Values'!$A:$F,2),2)</f>
        <v>0</v>
      </c>
      <c r="FD20">
        <f>ROUND(BB20*VLOOKUP($A20,'Present Values'!$A:$F,4)/VLOOKUP($A20,'Present Values'!$A:$F,2),2)</f>
        <v>0</v>
      </c>
      <c r="FE20">
        <f>ROUND(BC20*VLOOKUP($A20,'Present Values'!$A:$F,4)/VLOOKUP($A20,'Present Values'!$A:$F,2),2)</f>
        <v>0</v>
      </c>
      <c r="FF20">
        <f>ROUND(BD20*VLOOKUP($A20,'Present Values'!$A:$F,4)/VLOOKUP($A20,'Present Values'!$A:$F,2),2)</f>
        <v>0</v>
      </c>
      <c r="FG20">
        <f>ROUND(BE20*VLOOKUP($A20,'Present Values'!$A:$F,4)/VLOOKUP($A20,'Present Values'!$A:$F,2),2)</f>
        <v>0</v>
      </c>
      <c r="FH20">
        <f>ROUND(BF20*VLOOKUP($A20,'Present Values'!$A:$F,4)/VLOOKUP($A20,'Present Values'!$A:$F,2),2)</f>
        <v>0</v>
      </c>
      <c r="FI20">
        <f>ROUND(BG20*VLOOKUP($A20,'Present Values'!$A:$F,4)/VLOOKUP($A20,'Present Values'!$A:$F,2),2)</f>
        <v>0</v>
      </c>
      <c r="FJ20">
        <f>ROUND(BH20*VLOOKUP($A20,'Present Values'!$A:$F,4)/VLOOKUP($A20,'Present Values'!$A:$F,2),2)</f>
        <v>0</v>
      </c>
      <c r="FK20">
        <f>ROUND(BI20*VLOOKUP($A20,'Present Values'!$A:$F,4)/VLOOKUP($A20,'Present Values'!$A:$F,2),2)</f>
        <v>0</v>
      </c>
      <c r="FL20">
        <f>ROUND(BJ20*VLOOKUP($A20,'Present Values'!$A:$F,4)/VLOOKUP($A20,'Present Values'!$A:$F,2),2)</f>
        <v>0</v>
      </c>
      <c r="FM20">
        <f>ROUND(BK20*VLOOKUP($A20,'Present Values'!$A:$F,4)/VLOOKUP($A20,'Present Values'!$A:$F,2),2)</f>
        <v>0</v>
      </c>
      <c r="FN20">
        <f>ROUND(BL20*VLOOKUP($A20,'Present Values'!$A:$F,4)/VLOOKUP($A20,'Present Values'!$A:$F,2),2)</f>
        <v>0</v>
      </c>
      <c r="FO20">
        <f>ROUND(BM20*VLOOKUP($A20,'Present Values'!$A:$F,4)/VLOOKUP($A20,'Present Values'!$A:$F,2),2)</f>
        <v>0</v>
      </c>
      <c r="FP20">
        <f>ROUND(BN20*VLOOKUP($A20,'Present Values'!$A:$F,4)/VLOOKUP($A20,'Present Values'!$A:$F,2),2)</f>
        <v>0</v>
      </c>
      <c r="FQ20">
        <f>ROUND(BO20*VLOOKUP($A20,'Present Values'!$A:$F,4)/VLOOKUP($A20,'Present Values'!$A:$F,2),2)</f>
        <v>0</v>
      </c>
      <c r="FR20">
        <f>ROUND(BP20*VLOOKUP($A20,'Present Values'!$A:$F,4)/VLOOKUP($A20,'Present Values'!$A:$F,2),2)</f>
        <v>0</v>
      </c>
      <c r="FS20">
        <f>ROUND(BQ20*VLOOKUP($A20,'Present Values'!$A:$F,4)/VLOOKUP($A20,'Present Values'!$A:$F,2),2)</f>
        <v>0</v>
      </c>
      <c r="FT20">
        <f>ROUND(BR20*VLOOKUP($A20,'Present Values'!$A:$F,4)/VLOOKUP($A20,'Present Values'!$A:$F,2),2)</f>
        <v>0</v>
      </c>
      <c r="FU20">
        <f>ROUND(BS20*VLOOKUP($A20,'Present Values'!$A:$F,4)/VLOOKUP($A20,'Present Values'!$A:$F,2),2)</f>
        <v>0</v>
      </c>
      <c r="FV20">
        <f>ROUND(BT20*VLOOKUP($A20,'Present Values'!$A:$F,4)/VLOOKUP($A20,'Present Values'!$A:$F,2),2)</f>
        <v>0</v>
      </c>
      <c r="FW20">
        <f>ROUND(BU20*VLOOKUP($A20,'Present Values'!$A:$F,4)/VLOOKUP($A20,'Present Values'!$A:$F,2),2)</f>
        <v>0</v>
      </c>
      <c r="FX20">
        <f>ROUND(BV20*VLOOKUP($A20,'Present Values'!$A:$F,4)/VLOOKUP($A20,'Present Values'!$A:$F,2),2)</f>
        <v>0</v>
      </c>
      <c r="FY20">
        <f>ROUND(BW20*VLOOKUP($A20,'Present Values'!$A:$F,4)/VLOOKUP($A20,'Present Values'!$A:$F,2),2)</f>
        <v>0</v>
      </c>
      <c r="FZ20">
        <f>ROUND(BX20*VLOOKUP($A20,'Present Values'!$A:$F,4)/VLOOKUP($A20,'Present Values'!$A:$F,2),2)</f>
        <v>0</v>
      </c>
      <c r="GA20">
        <f>ROUND(BY20*VLOOKUP($A20,'Present Values'!$A:$F,4)/VLOOKUP($A20,'Present Values'!$A:$F,2),2)</f>
        <v>0</v>
      </c>
      <c r="GB20">
        <f>ROUND(BZ20*VLOOKUP($A20,'Present Values'!$A:$F,4)/VLOOKUP($A20,'Present Values'!$A:$F,2),2)</f>
        <v>0</v>
      </c>
      <c r="GC20">
        <f>ROUND(CA20*VLOOKUP($A20,'Present Values'!$A:$F,4)/VLOOKUP($A20,'Present Values'!$A:$F,2),2)</f>
        <v>0</v>
      </c>
      <c r="GD20">
        <f>ROUND(CB20*VLOOKUP($A20,'Present Values'!$A:$F,4)/VLOOKUP($A20,'Present Values'!$A:$F,2),2)</f>
        <v>0</v>
      </c>
      <c r="GE20">
        <f>ROUND(CC20*VLOOKUP($A20,'Present Values'!$A:$F,4)/VLOOKUP($A20,'Present Values'!$A:$F,2),2)</f>
        <v>0</v>
      </c>
      <c r="GF20">
        <f>ROUND(CD20*VLOOKUP($A20,'Present Values'!$A:$F,4)/VLOOKUP($A20,'Present Values'!$A:$F,2),2)</f>
        <v>0</v>
      </c>
      <c r="GG20">
        <f>ROUND(CE20*VLOOKUP($A20,'Present Values'!$A:$F,4)/VLOOKUP($A20,'Present Values'!$A:$F,2),2)</f>
        <v>0</v>
      </c>
      <c r="GH20">
        <f>ROUND(CF20*VLOOKUP($A20,'Present Values'!$A:$F,4)/VLOOKUP($A20,'Present Values'!$A:$F,2),2)</f>
        <v>0</v>
      </c>
      <c r="GI20">
        <f>ROUND(CG20*VLOOKUP($A20,'Present Values'!$A:$F,4)/VLOOKUP($A20,'Present Values'!$A:$F,2),2)</f>
        <v>0</v>
      </c>
      <c r="GJ20">
        <f>ROUND(CH20*VLOOKUP($A20,'Present Values'!$A:$F,4)/VLOOKUP($A20,'Present Values'!$A:$F,2),2)</f>
        <v>0</v>
      </c>
      <c r="GK20">
        <f>ROUND(CI20*VLOOKUP($A20,'Present Values'!$A:$F,4)/VLOOKUP($A20,'Present Values'!$A:$F,2),2)</f>
        <v>0</v>
      </c>
      <c r="GL20">
        <f>ROUND(CJ20*VLOOKUP($A20,'Present Values'!$A:$F,4)/VLOOKUP($A20,'Present Values'!$A:$F,2),2)</f>
        <v>0</v>
      </c>
      <c r="GM20">
        <f>ROUND(CK20*VLOOKUP($A20,'Present Values'!$A:$F,4)/VLOOKUP($A20,'Present Values'!$A:$F,2),2)</f>
        <v>0</v>
      </c>
      <c r="GN20">
        <f>ROUND(CL20*VLOOKUP($A20,'Present Values'!$A:$F,4)/VLOOKUP($A20,'Present Values'!$A:$F,2),2)</f>
        <v>0</v>
      </c>
      <c r="GO20">
        <f>ROUND(CM20*VLOOKUP($A20,'Present Values'!$A:$F,4)/VLOOKUP($A20,'Present Values'!$A:$F,2),2)</f>
        <v>0</v>
      </c>
      <c r="GP20">
        <f>ROUND(CN20*VLOOKUP($A20,'Present Values'!$A:$F,4)/VLOOKUP($A20,'Present Values'!$A:$F,2),2)</f>
        <v>0</v>
      </c>
      <c r="GQ20">
        <f>ROUND(CO20*VLOOKUP($A20,'Present Values'!$A:$F,4)/VLOOKUP($A20,'Present Values'!$A:$F,2),2)</f>
        <v>0</v>
      </c>
      <c r="GR20">
        <f>ROUND(CP20*VLOOKUP($A20,'Present Values'!$A:$F,4)/VLOOKUP($A20,'Present Values'!$A:$F,2),2)</f>
        <v>0</v>
      </c>
      <c r="GS20">
        <f>ROUND(CQ20*VLOOKUP($A20,'Present Values'!$A:$F,4)/VLOOKUP($A20,'Present Values'!$A:$F,2),2)</f>
        <v>0</v>
      </c>
      <c r="GT20">
        <f>ROUND(CR20*VLOOKUP($A20,'Present Values'!$A:$F,4)/VLOOKUP($A20,'Present Values'!$A:$F,2),2)</f>
        <v>0</v>
      </c>
      <c r="GU20">
        <f>ROUND(CS20*VLOOKUP($A20,'Present Values'!$A:$F,4)/VLOOKUP($A20,'Present Values'!$A:$F,2),2)</f>
        <v>0</v>
      </c>
      <c r="GV20">
        <f>ROUND(CT20*VLOOKUP($A20,'Present Values'!$A:$F,4)/VLOOKUP($A20,'Present Values'!$A:$F,2),2)</f>
        <v>0</v>
      </c>
      <c r="GW20">
        <f>ROUND(CU20*VLOOKUP($A20,'Present Values'!$A:$F,4)/VLOOKUP($A20,'Present Values'!$A:$F,2),2)</f>
        <v>0</v>
      </c>
      <c r="GX20">
        <f>ROUND(CV20*VLOOKUP($A20,'Present Values'!$A:$F,4)/VLOOKUP($A20,'Present Values'!$A:$F,2),2)</f>
        <v>0</v>
      </c>
      <c r="GY20">
        <f>ROUND(CW20*VLOOKUP($A20,'Present Values'!$A:$F,4)/VLOOKUP($A20,'Present Values'!$A:$F,2),2)</f>
        <v>0</v>
      </c>
      <c r="HA20" s="3">
        <f>NPV(Assumptions!$C$9, DD20:GY20)*(1+Assumptions!$C$9)</f>
        <v>93067.650422798586</v>
      </c>
      <c r="HB20" s="12">
        <f>'Present Values'!D20</f>
        <v>93067.63</v>
      </c>
      <c r="HD20" s="3">
        <f>NPV(Assumptions!$C$9+0.01,Payouts!$B20:$CW20)*(1.01+Assumptions!$C$9)</f>
        <v>83705.636271301133</v>
      </c>
      <c r="HE20" s="3">
        <f>NPV(Assumptions!$C$9-0.01,Payouts!$B20:$CW20)*(0.99+Assumptions!$C$9)</f>
        <v>104136.84065934522</v>
      </c>
      <c r="HG20" s="3">
        <f>IF(AND(AMMset!D17&gt;0,'Present Values'!F20&gt;0),NPV(Assumptions!$C$9+0.01,Payouts!$DD20:$GY20)*(1.01+Assumptions!$C$9)/AMMset!D17, 0)</f>
        <v>0</v>
      </c>
      <c r="HH20" s="3">
        <f>IF(AND(AMMset!D17&gt;0,'Present Values'!F20&gt;0),NPV(Assumptions!$C$9-0.01,Payouts!$DD20:$GY20)*(0.99+Assumptions!$C$9)/AMMset!D17, 0)</f>
        <v>0</v>
      </c>
      <c r="HJ20" s="12">
        <v>0</v>
      </c>
      <c r="HK20" s="12">
        <v>0</v>
      </c>
      <c r="HM20" s="12">
        <v>83705.64</v>
      </c>
      <c r="HN20" s="12">
        <v>104136.84</v>
      </c>
    </row>
    <row r="21" spans="1:222" x14ac:dyDescent="0.25">
      <c r="A21">
        <v>17</v>
      </c>
      <c r="B21">
        <v>10190</v>
      </c>
      <c r="C21">
        <v>4392.7299999999996</v>
      </c>
      <c r="D21">
        <v>4595.91</v>
      </c>
      <c r="E21">
        <v>4805.72</v>
      </c>
      <c r="F21">
        <v>5021.3100000000004</v>
      </c>
      <c r="G21">
        <v>5242.07</v>
      </c>
      <c r="H21">
        <v>5465.95</v>
      </c>
      <c r="I21">
        <v>5691.33</v>
      </c>
      <c r="J21">
        <v>5916.51</v>
      </c>
      <c r="K21">
        <v>6139.99</v>
      </c>
      <c r="L21">
        <v>6360.96</v>
      </c>
      <c r="M21">
        <v>6576.93</v>
      </c>
      <c r="N21">
        <v>6785.67</v>
      </c>
      <c r="O21">
        <v>6984.27</v>
      </c>
      <c r="P21">
        <v>7167.55</v>
      </c>
      <c r="Q21">
        <v>7330.06</v>
      </c>
      <c r="R21">
        <v>7465.73</v>
      </c>
      <c r="S21">
        <v>7569.24</v>
      </c>
      <c r="T21">
        <v>7634.1</v>
      </c>
      <c r="U21">
        <v>7653.94</v>
      </c>
      <c r="V21">
        <v>7623.84</v>
      </c>
      <c r="W21">
        <v>7540.78</v>
      </c>
      <c r="X21">
        <v>7401.1</v>
      </c>
      <c r="Y21">
        <v>7201.63</v>
      </c>
      <c r="Z21">
        <v>6926.68</v>
      </c>
      <c r="AA21">
        <v>6573.16</v>
      </c>
      <c r="AB21">
        <v>6142.19</v>
      </c>
      <c r="AC21">
        <v>5639.29</v>
      </c>
      <c r="AD21">
        <v>5076.43</v>
      </c>
      <c r="AE21">
        <v>4472.4399999999996</v>
      </c>
      <c r="AF21">
        <v>3850.56</v>
      </c>
      <c r="AG21">
        <v>3234.68</v>
      </c>
      <c r="AH21">
        <v>2646.67</v>
      </c>
      <c r="AI21">
        <v>2105.15</v>
      </c>
      <c r="AJ21">
        <v>1624.34</v>
      </c>
      <c r="AK21">
        <v>1223.04</v>
      </c>
      <c r="AL21">
        <v>890.16</v>
      </c>
      <c r="AM21">
        <v>633.55999999999995</v>
      </c>
      <c r="AN21">
        <v>427.49</v>
      </c>
      <c r="AO21">
        <v>271.88</v>
      </c>
      <c r="AP21">
        <v>156.25</v>
      </c>
      <c r="AQ21">
        <v>79.010000000000005</v>
      </c>
      <c r="AR21">
        <v>34.57</v>
      </c>
      <c r="AS21">
        <v>12.95</v>
      </c>
      <c r="AT21">
        <v>3.96</v>
      </c>
      <c r="AU21">
        <v>0.91</v>
      </c>
      <c r="AV21">
        <v>0.13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Y21" s="3">
        <f>NPV(Assumptions!$C$9, B21:CW21)*(1+Assumptions!$C$9)</f>
        <v>122399.65244096461</v>
      </c>
      <c r="CZ21" s="12">
        <f>'Present Values'!B21</f>
        <v>122399.67</v>
      </c>
      <c r="DD21">
        <f>ROUND(B21*VLOOKUP($A21,'Present Values'!$A:$F,4)/VLOOKUP($A21,'Present Values'!$A:$F,2),2)</f>
        <v>10190</v>
      </c>
      <c r="DE21">
        <f>ROUND(C21*VLOOKUP($A21,'Present Values'!$A:$F,4)/VLOOKUP($A21,'Present Values'!$A:$F,2),2)</f>
        <v>4392.7299999999996</v>
      </c>
      <c r="DF21">
        <f>ROUND(D21*VLOOKUP($A21,'Present Values'!$A:$F,4)/VLOOKUP($A21,'Present Values'!$A:$F,2),2)</f>
        <v>4595.91</v>
      </c>
      <c r="DG21">
        <f>ROUND(E21*VLOOKUP($A21,'Present Values'!$A:$F,4)/VLOOKUP($A21,'Present Values'!$A:$F,2),2)</f>
        <v>4805.72</v>
      </c>
      <c r="DH21">
        <f>ROUND(F21*VLOOKUP($A21,'Present Values'!$A:$F,4)/VLOOKUP($A21,'Present Values'!$A:$F,2),2)</f>
        <v>5021.3100000000004</v>
      </c>
      <c r="DI21">
        <f>ROUND(G21*VLOOKUP($A21,'Present Values'!$A:$F,4)/VLOOKUP($A21,'Present Values'!$A:$F,2),2)</f>
        <v>5242.07</v>
      </c>
      <c r="DJ21">
        <f>ROUND(H21*VLOOKUP($A21,'Present Values'!$A:$F,4)/VLOOKUP($A21,'Present Values'!$A:$F,2),2)</f>
        <v>5465.95</v>
      </c>
      <c r="DK21">
        <f>ROUND(I21*VLOOKUP($A21,'Present Values'!$A:$F,4)/VLOOKUP($A21,'Present Values'!$A:$F,2),2)</f>
        <v>5691.33</v>
      </c>
      <c r="DL21">
        <f>ROUND(J21*VLOOKUP($A21,'Present Values'!$A:$F,4)/VLOOKUP($A21,'Present Values'!$A:$F,2),2)</f>
        <v>5916.51</v>
      </c>
      <c r="DM21">
        <f>ROUND(K21*VLOOKUP($A21,'Present Values'!$A:$F,4)/VLOOKUP($A21,'Present Values'!$A:$F,2),2)</f>
        <v>6139.99</v>
      </c>
      <c r="DN21">
        <f>ROUND(L21*VLOOKUP($A21,'Present Values'!$A:$F,4)/VLOOKUP($A21,'Present Values'!$A:$F,2),2)</f>
        <v>6360.96</v>
      </c>
      <c r="DO21">
        <f>ROUND(M21*VLOOKUP($A21,'Present Values'!$A:$F,4)/VLOOKUP($A21,'Present Values'!$A:$F,2),2)</f>
        <v>6576.93</v>
      </c>
      <c r="DP21">
        <f>ROUND(N21*VLOOKUP($A21,'Present Values'!$A:$F,4)/VLOOKUP($A21,'Present Values'!$A:$F,2),2)</f>
        <v>6785.67</v>
      </c>
      <c r="DQ21">
        <f>ROUND(O21*VLOOKUP($A21,'Present Values'!$A:$F,4)/VLOOKUP($A21,'Present Values'!$A:$F,2),2)</f>
        <v>6984.27</v>
      </c>
      <c r="DR21">
        <f>ROUND(P21*VLOOKUP($A21,'Present Values'!$A:$F,4)/VLOOKUP($A21,'Present Values'!$A:$F,2),2)</f>
        <v>7167.55</v>
      </c>
      <c r="DS21">
        <f>ROUND(Q21*VLOOKUP($A21,'Present Values'!$A:$F,4)/VLOOKUP($A21,'Present Values'!$A:$F,2),2)</f>
        <v>7330.06</v>
      </c>
      <c r="DT21">
        <f>ROUND(R21*VLOOKUP($A21,'Present Values'!$A:$F,4)/VLOOKUP($A21,'Present Values'!$A:$F,2),2)</f>
        <v>7465.73</v>
      </c>
      <c r="DU21">
        <f>ROUND(S21*VLOOKUP($A21,'Present Values'!$A:$F,4)/VLOOKUP($A21,'Present Values'!$A:$F,2),2)</f>
        <v>7569.24</v>
      </c>
      <c r="DV21">
        <f>ROUND(T21*VLOOKUP($A21,'Present Values'!$A:$F,4)/VLOOKUP($A21,'Present Values'!$A:$F,2),2)</f>
        <v>7634.1</v>
      </c>
      <c r="DW21">
        <f>ROUND(U21*VLOOKUP($A21,'Present Values'!$A:$F,4)/VLOOKUP($A21,'Present Values'!$A:$F,2),2)</f>
        <v>7653.94</v>
      </c>
      <c r="DX21">
        <f>ROUND(V21*VLOOKUP($A21,'Present Values'!$A:$F,4)/VLOOKUP($A21,'Present Values'!$A:$F,2),2)</f>
        <v>7623.84</v>
      </c>
      <c r="DY21">
        <f>ROUND(W21*VLOOKUP($A21,'Present Values'!$A:$F,4)/VLOOKUP($A21,'Present Values'!$A:$F,2),2)</f>
        <v>7540.78</v>
      </c>
      <c r="DZ21">
        <f>ROUND(X21*VLOOKUP($A21,'Present Values'!$A:$F,4)/VLOOKUP($A21,'Present Values'!$A:$F,2),2)</f>
        <v>7401.1</v>
      </c>
      <c r="EA21">
        <f>ROUND(Y21*VLOOKUP($A21,'Present Values'!$A:$F,4)/VLOOKUP($A21,'Present Values'!$A:$F,2),2)</f>
        <v>7201.63</v>
      </c>
      <c r="EB21">
        <f>ROUND(Z21*VLOOKUP($A21,'Present Values'!$A:$F,4)/VLOOKUP($A21,'Present Values'!$A:$F,2),2)</f>
        <v>6926.68</v>
      </c>
      <c r="EC21">
        <f>ROUND(AA21*VLOOKUP($A21,'Present Values'!$A:$F,4)/VLOOKUP($A21,'Present Values'!$A:$F,2),2)</f>
        <v>6573.16</v>
      </c>
      <c r="ED21">
        <f>ROUND(AB21*VLOOKUP($A21,'Present Values'!$A:$F,4)/VLOOKUP($A21,'Present Values'!$A:$F,2),2)</f>
        <v>6142.19</v>
      </c>
      <c r="EE21">
        <f>ROUND(AC21*VLOOKUP($A21,'Present Values'!$A:$F,4)/VLOOKUP($A21,'Present Values'!$A:$F,2),2)</f>
        <v>5639.29</v>
      </c>
      <c r="EF21">
        <f>ROUND(AD21*VLOOKUP($A21,'Present Values'!$A:$F,4)/VLOOKUP($A21,'Present Values'!$A:$F,2),2)</f>
        <v>5076.43</v>
      </c>
      <c r="EG21">
        <f>ROUND(AE21*VLOOKUP($A21,'Present Values'!$A:$F,4)/VLOOKUP($A21,'Present Values'!$A:$F,2),2)</f>
        <v>4472.4399999999996</v>
      </c>
      <c r="EH21">
        <f>ROUND(AF21*VLOOKUP($A21,'Present Values'!$A:$F,4)/VLOOKUP($A21,'Present Values'!$A:$F,2),2)</f>
        <v>3850.56</v>
      </c>
      <c r="EI21">
        <f>ROUND(AG21*VLOOKUP($A21,'Present Values'!$A:$F,4)/VLOOKUP($A21,'Present Values'!$A:$F,2),2)</f>
        <v>3234.68</v>
      </c>
      <c r="EJ21">
        <f>ROUND(AH21*VLOOKUP($A21,'Present Values'!$A:$F,4)/VLOOKUP($A21,'Present Values'!$A:$F,2),2)</f>
        <v>2646.67</v>
      </c>
      <c r="EK21">
        <f>ROUND(AI21*VLOOKUP($A21,'Present Values'!$A:$F,4)/VLOOKUP($A21,'Present Values'!$A:$F,2),2)</f>
        <v>2105.15</v>
      </c>
      <c r="EL21">
        <f>ROUND(AJ21*VLOOKUP($A21,'Present Values'!$A:$F,4)/VLOOKUP($A21,'Present Values'!$A:$F,2),2)</f>
        <v>1624.34</v>
      </c>
      <c r="EM21">
        <f>ROUND(AK21*VLOOKUP($A21,'Present Values'!$A:$F,4)/VLOOKUP($A21,'Present Values'!$A:$F,2),2)</f>
        <v>1223.04</v>
      </c>
      <c r="EN21">
        <f>ROUND(AL21*VLOOKUP($A21,'Present Values'!$A:$F,4)/VLOOKUP($A21,'Present Values'!$A:$F,2),2)</f>
        <v>890.16</v>
      </c>
      <c r="EO21">
        <f>ROUND(AM21*VLOOKUP($A21,'Present Values'!$A:$F,4)/VLOOKUP($A21,'Present Values'!$A:$F,2),2)</f>
        <v>633.55999999999995</v>
      </c>
      <c r="EP21">
        <f>ROUND(AN21*VLOOKUP($A21,'Present Values'!$A:$F,4)/VLOOKUP($A21,'Present Values'!$A:$F,2),2)</f>
        <v>427.49</v>
      </c>
      <c r="EQ21">
        <f>ROUND(AO21*VLOOKUP($A21,'Present Values'!$A:$F,4)/VLOOKUP($A21,'Present Values'!$A:$F,2),2)</f>
        <v>271.88</v>
      </c>
      <c r="ER21">
        <f>ROUND(AP21*VLOOKUP($A21,'Present Values'!$A:$F,4)/VLOOKUP($A21,'Present Values'!$A:$F,2),2)</f>
        <v>156.25</v>
      </c>
      <c r="ES21">
        <f>ROUND(AQ21*VLOOKUP($A21,'Present Values'!$A:$F,4)/VLOOKUP($A21,'Present Values'!$A:$F,2),2)</f>
        <v>79.010000000000005</v>
      </c>
      <c r="ET21">
        <f>ROUND(AR21*VLOOKUP($A21,'Present Values'!$A:$F,4)/VLOOKUP($A21,'Present Values'!$A:$F,2),2)</f>
        <v>34.57</v>
      </c>
      <c r="EU21">
        <f>ROUND(AS21*VLOOKUP($A21,'Present Values'!$A:$F,4)/VLOOKUP($A21,'Present Values'!$A:$F,2),2)</f>
        <v>12.95</v>
      </c>
      <c r="EV21">
        <f>ROUND(AT21*VLOOKUP($A21,'Present Values'!$A:$F,4)/VLOOKUP($A21,'Present Values'!$A:$F,2),2)</f>
        <v>3.96</v>
      </c>
      <c r="EW21">
        <f>ROUND(AU21*VLOOKUP($A21,'Present Values'!$A:$F,4)/VLOOKUP($A21,'Present Values'!$A:$F,2),2)</f>
        <v>0.91</v>
      </c>
      <c r="EX21">
        <f>ROUND(AV21*VLOOKUP($A21,'Present Values'!$A:$F,4)/VLOOKUP($A21,'Present Values'!$A:$F,2),2)</f>
        <v>0.13</v>
      </c>
      <c r="EY21">
        <f>ROUND(AW21*VLOOKUP($A21,'Present Values'!$A:$F,4)/VLOOKUP($A21,'Present Values'!$A:$F,2),2)</f>
        <v>0</v>
      </c>
      <c r="EZ21">
        <f>ROUND(AX21*VLOOKUP($A21,'Present Values'!$A:$F,4)/VLOOKUP($A21,'Present Values'!$A:$F,2),2)</f>
        <v>0</v>
      </c>
      <c r="FA21">
        <f>ROUND(AY21*VLOOKUP($A21,'Present Values'!$A:$F,4)/VLOOKUP($A21,'Present Values'!$A:$F,2),2)</f>
        <v>0</v>
      </c>
      <c r="FB21">
        <f>ROUND(AZ21*VLOOKUP($A21,'Present Values'!$A:$F,4)/VLOOKUP($A21,'Present Values'!$A:$F,2),2)</f>
        <v>0</v>
      </c>
      <c r="FC21">
        <f>ROUND(BA21*VLOOKUP($A21,'Present Values'!$A:$F,4)/VLOOKUP($A21,'Present Values'!$A:$F,2),2)</f>
        <v>0</v>
      </c>
      <c r="FD21">
        <f>ROUND(BB21*VLOOKUP($A21,'Present Values'!$A:$F,4)/VLOOKUP($A21,'Present Values'!$A:$F,2),2)</f>
        <v>0</v>
      </c>
      <c r="FE21">
        <f>ROUND(BC21*VLOOKUP($A21,'Present Values'!$A:$F,4)/VLOOKUP($A21,'Present Values'!$A:$F,2),2)</f>
        <v>0</v>
      </c>
      <c r="FF21">
        <f>ROUND(BD21*VLOOKUP($A21,'Present Values'!$A:$F,4)/VLOOKUP($A21,'Present Values'!$A:$F,2),2)</f>
        <v>0</v>
      </c>
      <c r="FG21">
        <f>ROUND(BE21*VLOOKUP($A21,'Present Values'!$A:$F,4)/VLOOKUP($A21,'Present Values'!$A:$F,2),2)</f>
        <v>0</v>
      </c>
      <c r="FH21">
        <f>ROUND(BF21*VLOOKUP($A21,'Present Values'!$A:$F,4)/VLOOKUP($A21,'Present Values'!$A:$F,2),2)</f>
        <v>0</v>
      </c>
      <c r="FI21">
        <f>ROUND(BG21*VLOOKUP($A21,'Present Values'!$A:$F,4)/VLOOKUP($A21,'Present Values'!$A:$F,2),2)</f>
        <v>0</v>
      </c>
      <c r="FJ21">
        <f>ROUND(BH21*VLOOKUP($A21,'Present Values'!$A:$F,4)/VLOOKUP($A21,'Present Values'!$A:$F,2),2)</f>
        <v>0</v>
      </c>
      <c r="FK21">
        <f>ROUND(BI21*VLOOKUP($A21,'Present Values'!$A:$F,4)/VLOOKUP($A21,'Present Values'!$A:$F,2),2)</f>
        <v>0</v>
      </c>
      <c r="FL21">
        <f>ROUND(BJ21*VLOOKUP($A21,'Present Values'!$A:$F,4)/VLOOKUP($A21,'Present Values'!$A:$F,2),2)</f>
        <v>0</v>
      </c>
      <c r="FM21">
        <f>ROUND(BK21*VLOOKUP($A21,'Present Values'!$A:$F,4)/VLOOKUP($A21,'Present Values'!$A:$F,2),2)</f>
        <v>0</v>
      </c>
      <c r="FN21">
        <f>ROUND(BL21*VLOOKUP($A21,'Present Values'!$A:$F,4)/VLOOKUP($A21,'Present Values'!$A:$F,2),2)</f>
        <v>0</v>
      </c>
      <c r="FO21">
        <f>ROUND(BM21*VLOOKUP($A21,'Present Values'!$A:$F,4)/VLOOKUP($A21,'Present Values'!$A:$F,2),2)</f>
        <v>0</v>
      </c>
      <c r="FP21">
        <f>ROUND(BN21*VLOOKUP($A21,'Present Values'!$A:$F,4)/VLOOKUP($A21,'Present Values'!$A:$F,2),2)</f>
        <v>0</v>
      </c>
      <c r="FQ21">
        <f>ROUND(BO21*VLOOKUP($A21,'Present Values'!$A:$F,4)/VLOOKUP($A21,'Present Values'!$A:$F,2),2)</f>
        <v>0</v>
      </c>
      <c r="FR21">
        <f>ROUND(BP21*VLOOKUP($A21,'Present Values'!$A:$F,4)/VLOOKUP($A21,'Present Values'!$A:$F,2),2)</f>
        <v>0</v>
      </c>
      <c r="FS21">
        <f>ROUND(BQ21*VLOOKUP($A21,'Present Values'!$A:$F,4)/VLOOKUP($A21,'Present Values'!$A:$F,2),2)</f>
        <v>0</v>
      </c>
      <c r="FT21">
        <f>ROUND(BR21*VLOOKUP($A21,'Present Values'!$A:$F,4)/VLOOKUP($A21,'Present Values'!$A:$F,2),2)</f>
        <v>0</v>
      </c>
      <c r="FU21">
        <f>ROUND(BS21*VLOOKUP($A21,'Present Values'!$A:$F,4)/VLOOKUP($A21,'Present Values'!$A:$F,2),2)</f>
        <v>0</v>
      </c>
      <c r="FV21">
        <f>ROUND(BT21*VLOOKUP($A21,'Present Values'!$A:$F,4)/VLOOKUP($A21,'Present Values'!$A:$F,2),2)</f>
        <v>0</v>
      </c>
      <c r="FW21">
        <f>ROUND(BU21*VLOOKUP($A21,'Present Values'!$A:$F,4)/VLOOKUP($A21,'Present Values'!$A:$F,2),2)</f>
        <v>0</v>
      </c>
      <c r="FX21">
        <f>ROUND(BV21*VLOOKUP($A21,'Present Values'!$A:$F,4)/VLOOKUP($A21,'Present Values'!$A:$F,2),2)</f>
        <v>0</v>
      </c>
      <c r="FY21">
        <f>ROUND(BW21*VLOOKUP($A21,'Present Values'!$A:$F,4)/VLOOKUP($A21,'Present Values'!$A:$F,2),2)</f>
        <v>0</v>
      </c>
      <c r="FZ21">
        <f>ROUND(BX21*VLOOKUP($A21,'Present Values'!$A:$F,4)/VLOOKUP($A21,'Present Values'!$A:$F,2),2)</f>
        <v>0</v>
      </c>
      <c r="GA21">
        <f>ROUND(BY21*VLOOKUP($A21,'Present Values'!$A:$F,4)/VLOOKUP($A21,'Present Values'!$A:$F,2),2)</f>
        <v>0</v>
      </c>
      <c r="GB21">
        <f>ROUND(BZ21*VLOOKUP($A21,'Present Values'!$A:$F,4)/VLOOKUP($A21,'Present Values'!$A:$F,2),2)</f>
        <v>0</v>
      </c>
      <c r="GC21">
        <f>ROUND(CA21*VLOOKUP($A21,'Present Values'!$A:$F,4)/VLOOKUP($A21,'Present Values'!$A:$F,2),2)</f>
        <v>0</v>
      </c>
      <c r="GD21">
        <f>ROUND(CB21*VLOOKUP($A21,'Present Values'!$A:$F,4)/VLOOKUP($A21,'Present Values'!$A:$F,2),2)</f>
        <v>0</v>
      </c>
      <c r="GE21">
        <f>ROUND(CC21*VLOOKUP($A21,'Present Values'!$A:$F,4)/VLOOKUP($A21,'Present Values'!$A:$F,2),2)</f>
        <v>0</v>
      </c>
      <c r="GF21">
        <f>ROUND(CD21*VLOOKUP($A21,'Present Values'!$A:$F,4)/VLOOKUP($A21,'Present Values'!$A:$F,2),2)</f>
        <v>0</v>
      </c>
      <c r="GG21">
        <f>ROUND(CE21*VLOOKUP($A21,'Present Values'!$A:$F,4)/VLOOKUP($A21,'Present Values'!$A:$F,2),2)</f>
        <v>0</v>
      </c>
      <c r="GH21">
        <f>ROUND(CF21*VLOOKUP($A21,'Present Values'!$A:$F,4)/VLOOKUP($A21,'Present Values'!$A:$F,2),2)</f>
        <v>0</v>
      </c>
      <c r="GI21">
        <f>ROUND(CG21*VLOOKUP($A21,'Present Values'!$A:$F,4)/VLOOKUP($A21,'Present Values'!$A:$F,2),2)</f>
        <v>0</v>
      </c>
      <c r="GJ21">
        <f>ROUND(CH21*VLOOKUP($A21,'Present Values'!$A:$F,4)/VLOOKUP($A21,'Present Values'!$A:$F,2),2)</f>
        <v>0</v>
      </c>
      <c r="GK21">
        <f>ROUND(CI21*VLOOKUP($A21,'Present Values'!$A:$F,4)/VLOOKUP($A21,'Present Values'!$A:$F,2),2)</f>
        <v>0</v>
      </c>
      <c r="GL21">
        <f>ROUND(CJ21*VLOOKUP($A21,'Present Values'!$A:$F,4)/VLOOKUP($A21,'Present Values'!$A:$F,2),2)</f>
        <v>0</v>
      </c>
      <c r="GM21">
        <f>ROUND(CK21*VLOOKUP($A21,'Present Values'!$A:$F,4)/VLOOKUP($A21,'Present Values'!$A:$F,2),2)</f>
        <v>0</v>
      </c>
      <c r="GN21">
        <f>ROUND(CL21*VLOOKUP($A21,'Present Values'!$A:$F,4)/VLOOKUP($A21,'Present Values'!$A:$F,2),2)</f>
        <v>0</v>
      </c>
      <c r="GO21">
        <f>ROUND(CM21*VLOOKUP($A21,'Present Values'!$A:$F,4)/VLOOKUP($A21,'Present Values'!$A:$F,2),2)</f>
        <v>0</v>
      </c>
      <c r="GP21">
        <f>ROUND(CN21*VLOOKUP($A21,'Present Values'!$A:$F,4)/VLOOKUP($A21,'Present Values'!$A:$F,2),2)</f>
        <v>0</v>
      </c>
      <c r="GQ21">
        <f>ROUND(CO21*VLOOKUP($A21,'Present Values'!$A:$F,4)/VLOOKUP($A21,'Present Values'!$A:$F,2),2)</f>
        <v>0</v>
      </c>
      <c r="GR21">
        <f>ROUND(CP21*VLOOKUP($A21,'Present Values'!$A:$F,4)/VLOOKUP($A21,'Present Values'!$A:$F,2),2)</f>
        <v>0</v>
      </c>
      <c r="GS21">
        <f>ROUND(CQ21*VLOOKUP($A21,'Present Values'!$A:$F,4)/VLOOKUP($A21,'Present Values'!$A:$F,2),2)</f>
        <v>0</v>
      </c>
      <c r="GT21">
        <f>ROUND(CR21*VLOOKUP($A21,'Present Values'!$A:$F,4)/VLOOKUP($A21,'Present Values'!$A:$F,2),2)</f>
        <v>0</v>
      </c>
      <c r="GU21">
        <f>ROUND(CS21*VLOOKUP($A21,'Present Values'!$A:$F,4)/VLOOKUP($A21,'Present Values'!$A:$F,2),2)</f>
        <v>0</v>
      </c>
      <c r="GV21">
        <f>ROUND(CT21*VLOOKUP($A21,'Present Values'!$A:$F,4)/VLOOKUP($A21,'Present Values'!$A:$F,2),2)</f>
        <v>0</v>
      </c>
      <c r="GW21">
        <f>ROUND(CU21*VLOOKUP($A21,'Present Values'!$A:$F,4)/VLOOKUP($A21,'Present Values'!$A:$F,2),2)</f>
        <v>0</v>
      </c>
      <c r="GX21">
        <f>ROUND(CV21*VLOOKUP($A21,'Present Values'!$A:$F,4)/VLOOKUP($A21,'Present Values'!$A:$F,2),2)</f>
        <v>0</v>
      </c>
      <c r="GY21">
        <f>ROUND(CW21*VLOOKUP($A21,'Present Values'!$A:$F,4)/VLOOKUP($A21,'Present Values'!$A:$F,2),2)</f>
        <v>0</v>
      </c>
      <c r="HA21" s="3">
        <f>NPV(Assumptions!$C$9, DD21:GY21)*(1+Assumptions!$C$9)</f>
        <v>122399.65244096461</v>
      </c>
      <c r="HB21" s="12">
        <f>'Present Values'!D21</f>
        <v>122399.67</v>
      </c>
      <c r="HD21" s="3">
        <f>NPV(Assumptions!$C$9+0.01,Payouts!$B21:$CW21)*(1.01+Assumptions!$C$9)</f>
        <v>108478.96141762166</v>
      </c>
      <c r="HE21" s="3">
        <f>NPV(Assumptions!$C$9-0.01,Payouts!$B21:$CW21)*(0.99+Assumptions!$C$9)</f>
        <v>139336.68847793574</v>
      </c>
      <c r="HG21" s="3">
        <f>IF(AND(AMMset!D18&gt;0,'Present Values'!F21&gt;0),NPV(Assumptions!$C$9+0.01,Payouts!$DD21:$GY21)*(1.01+Assumptions!$C$9)/AMMset!D18, 0)</f>
        <v>0</v>
      </c>
      <c r="HH21" s="3">
        <f>IF(AND(AMMset!D18&gt;0,'Present Values'!F21&gt;0),NPV(Assumptions!$C$9-0.01,Payouts!$DD21:$GY21)*(0.99+Assumptions!$C$9)/AMMset!D18, 0)</f>
        <v>0</v>
      </c>
      <c r="HJ21" s="12">
        <v>0</v>
      </c>
      <c r="HK21" s="12">
        <v>0</v>
      </c>
      <c r="HM21" s="12">
        <v>108478.96</v>
      </c>
      <c r="HN21" s="12">
        <v>139336.69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I113"/>
  <sheetViews>
    <sheetView workbookViewId="0"/>
  </sheetViews>
  <sheetFormatPr defaultRowHeight="15" x14ac:dyDescent="0.25"/>
  <cols>
    <col min="2" max="2" width="13.42578125" customWidth="1"/>
    <col min="3" max="3" width="11.85546875" bestFit="1" customWidth="1"/>
    <col min="5" max="5" width="14.28515625" style="3" bestFit="1" customWidth="1"/>
    <col min="6" max="6" width="16" style="3" bestFit="1" customWidth="1"/>
    <col min="7" max="7" width="14.7109375" bestFit="1" customWidth="1"/>
    <col min="8" max="8" width="13.5703125" style="3" bestFit="1" customWidth="1"/>
    <col min="9" max="9" width="11.85546875" bestFit="1" customWidth="1"/>
  </cols>
  <sheetData>
    <row r="2" spans="1:9" x14ac:dyDescent="0.25">
      <c r="B2" s="2" t="s">
        <v>38</v>
      </c>
    </row>
    <row r="4" spans="1:9" x14ac:dyDescent="0.25">
      <c r="B4" t="s">
        <v>39</v>
      </c>
      <c r="C4" s="18">
        <v>1</v>
      </c>
      <c r="F4" s="8" t="s">
        <v>21</v>
      </c>
      <c r="G4" s="19">
        <f>ROUND(SUM(H14:H113), 2)</f>
        <v>313184.23</v>
      </c>
      <c r="H4" s="8"/>
    </row>
    <row r="5" spans="1:9" x14ac:dyDescent="0.25">
      <c r="B5" t="s">
        <v>4</v>
      </c>
      <c r="C5" t="str">
        <f>VLOOKUP($C$4, AMMset!$A$2:$E$18, 2)</f>
        <v>Active</v>
      </c>
      <c r="F5" s="22" t="s">
        <v>66</v>
      </c>
      <c r="G5" s="19">
        <f>IF(C7&gt;=C11, G4, G6*C8)</f>
        <v>223703</v>
      </c>
    </row>
    <row r="6" spans="1:9" x14ac:dyDescent="0.25">
      <c r="B6" t="s">
        <v>7</v>
      </c>
      <c r="C6" t="str">
        <f>VLOOKUP($C$4, AMMset!$A$2:$E$18, 5)</f>
        <v>M</v>
      </c>
      <c r="F6" s="22" t="s">
        <v>67</v>
      </c>
      <c r="G6" s="19">
        <f>IF(OR(C8=0, C7&gt;=C11), 0, ROUND(G4/(C11-C9), 2))</f>
        <v>22370.3</v>
      </c>
    </row>
    <row r="7" spans="1:9" x14ac:dyDescent="0.25">
      <c r="B7" t="s">
        <v>40</v>
      </c>
      <c r="C7">
        <f>VLOOKUP($C$4, AMMset!$A$2:$E$18, 3)</f>
        <v>46</v>
      </c>
    </row>
    <row r="8" spans="1:9" x14ac:dyDescent="0.25">
      <c r="B8" t="s">
        <v>6</v>
      </c>
      <c r="C8">
        <f>VLOOKUP($C$4, AMMset!$A$2:$E$18, 4)</f>
        <v>10</v>
      </c>
      <c r="F8" s="8"/>
      <c r="G8" s="8"/>
      <c r="H8" s="8"/>
    </row>
    <row r="9" spans="1:9" x14ac:dyDescent="0.25">
      <c r="B9" t="s">
        <v>41</v>
      </c>
      <c r="C9">
        <f>C7-C8</f>
        <v>36</v>
      </c>
    </row>
    <row r="10" spans="1:9" x14ac:dyDescent="0.25">
      <c r="B10" t="s">
        <v>45</v>
      </c>
      <c r="C10" s="18">
        <v>50</v>
      </c>
      <c r="D10" t="s">
        <v>60</v>
      </c>
      <c r="F10" s="3" t="s">
        <v>22</v>
      </c>
    </row>
    <row r="11" spans="1:9" x14ac:dyDescent="0.25">
      <c r="B11" t="s">
        <v>86</v>
      </c>
      <c r="C11">
        <f>C7+COUNTIF('One person'!D13:D63, FALSE)</f>
        <v>50</v>
      </c>
      <c r="F11" s="3">
        <f>NPV(Assumptions!C9, F14:F113)*G14*(1+Assumptions!C9)-G4</f>
        <v>8.2860665279440582E-3</v>
      </c>
    </row>
    <row r="13" spans="1:9" x14ac:dyDescent="0.25">
      <c r="A13" t="s">
        <v>79</v>
      </c>
      <c r="B13" t="s">
        <v>5</v>
      </c>
      <c r="C13" t="s">
        <v>46</v>
      </c>
      <c r="D13" t="s">
        <v>47</v>
      </c>
      <c r="E13" s="3" t="s">
        <v>48</v>
      </c>
      <c r="F13" s="3" t="s">
        <v>49</v>
      </c>
      <c r="G13" t="s">
        <v>51</v>
      </c>
      <c r="H13" s="3" t="s">
        <v>50</v>
      </c>
    </row>
    <row r="14" spans="1:9" x14ac:dyDescent="0.25">
      <c r="A14">
        <f>Assumptions!C3+C10-C7</f>
        <v>2023</v>
      </c>
      <c r="B14">
        <f>IF(C5="Retired",C7, C10)</f>
        <v>50</v>
      </c>
      <c r="C14" s="7">
        <v>1</v>
      </c>
      <c r="D14">
        <f>VLOOKUP(B14, Mort!$A$2:$E$111, IF($C$6="M",4,5))</f>
        <v>5.0099999999999997E-3</v>
      </c>
      <c r="E14" s="6">
        <f>ROUND(IF(B14 &lt; 65, Assumptions!$C$6, Assumptions!$C$7) * (1+Assumptions!$C$8) ^ (B14 - $C$7), 2)</f>
        <v>12623.62</v>
      </c>
      <c r="F14" s="6">
        <f t="shared" ref="F14:F45" si="0">ROUND(C14*E14, 2)</f>
        <v>12623.62</v>
      </c>
      <c r="G14" s="4">
        <f xml:space="preserve"> (1+Assumptions!$C$9) ^ - (B14 - $C$7)</f>
        <v>0.86141134246212903</v>
      </c>
      <c r="H14" s="6">
        <f t="shared" ref="H14:H45" si="1">ROUND(F14*G14, 2)</f>
        <v>10874.13</v>
      </c>
      <c r="I14" s="5"/>
    </row>
    <row r="15" spans="1:9" x14ac:dyDescent="0.25">
      <c r="A15">
        <f t="shared" ref="A15:A46" si="2">A14+1</f>
        <v>2024</v>
      </c>
      <c r="B15">
        <f t="shared" ref="B15:B46" si="3">B14+1</f>
        <v>51</v>
      </c>
      <c r="C15" s="4">
        <f t="shared" ref="C15:C46" si="4">C14*(1-D14)</f>
        <v>0.99499000000000004</v>
      </c>
      <c r="D15">
        <f>VLOOKUP(B15, Mort!$A$2:$E$111, IF($C$6="M",4,5))</f>
        <v>5.1700000000000001E-3</v>
      </c>
      <c r="E15" s="6">
        <f>ROUND(IF(B15 &lt; 65, Assumptions!$C$6, Assumptions!$C$7) * (1+Assumptions!$C$8) ^ (B15 - $C$7), 2)</f>
        <v>13317.92</v>
      </c>
      <c r="F15" s="6">
        <f t="shared" si="0"/>
        <v>13251.2</v>
      </c>
      <c r="G15" s="4">
        <f xml:space="preserve"> (1+Assumptions!$C$9) ^ - (B15 - $C$7)</f>
        <v>0.8298760524683324</v>
      </c>
      <c r="H15" s="6">
        <f t="shared" si="1"/>
        <v>10996.85</v>
      </c>
    </row>
    <row r="16" spans="1:9" x14ac:dyDescent="0.25">
      <c r="A16">
        <f t="shared" si="2"/>
        <v>2025</v>
      </c>
      <c r="B16">
        <f t="shared" si="3"/>
        <v>52</v>
      </c>
      <c r="C16" s="4">
        <f t="shared" si="4"/>
        <v>0.98984590170000009</v>
      </c>
      <c r="D16">
        <f>VLOOKUP(B16, Mort!$A$2:$E$111, IF($C$6="M",4,5))</f>
        <v>5.3400000000000001E-3</v>
      </c>
      <c r="E16" s="6">
        <f>ROUND(IF(B16 &lt; 65, Assumptions!$C$6, Assumptions!$C$7) * (1+Assumptions!$C$8) ^ (B16 - $C$7), 2)</f>
        <v>14050.41</v>
      </c>
      <c r="F16" s="6">
        <f t="shared" si="0"/>
        <v>13907.74</v>
      </c>
      <c r="G16" s="4">
        <f xml:space="preserve"> (1+Assumptions!$C$9) ^ - (B16 - $C$7)</f>
        <v>0.79949523359184238</v>
      </c>
      <c r="H16" s="6">
        <f t="shared" si="1"/>
        <v>11119.17</v>
      </c>
    </row>
    <row r="17" spans="1:8" x14ac:dyDescent="0.25">
      <c r="A17">
        <f t="shared" si="2"/>
        <v>2026</v>
      </c>
      <c r="B17">
        <f t="shared" si="3"/>
        <v>53</v>
      </c>
      <c r="C17" s="4">
        <f t="shared" si="4"/>
        <v>0.98456012458492204</v>
      </c>
      <c r="D17">
        <f>VLOOKUP(B17, Mort!$A$2:$E$111, IF($C$6="M",4,5))</f>
        <v>5.5399999999999998E-3</v>
      </c>
      <c r="E17" s="6">
        <f>ROUND(IF(B17 &lt; 65, Assumptions!$C$6, Assumptions!$C$7) * (1+Assumptions!$C$8) ^ (B17 - $C$7), 2)</f>
        <v>14823.18</v>
      </c>
      <c r="F17" s="6">
        <f t="shared" si="0"/>
        <v>14594.31</v>
      </c>
      <c r="G17" s="4">
        <f xml:space="preserve"> (1+Assumptions!$C$9) ^ - (B17 - $C$7)</f>
        <v>0.77022662195745883</v>
      </c>
      <c r="H17" s="6">
        <f t="shared" si="1"/>
        <v>11240.93</v>
      </c>
    </row>
    <row r="18" spans="1:8" x14ac:dyDescent="0.25">
      <c r="A18">
        <f t="shared" si="2"/>
        <v>2027</v>
      </c>
      <c r="B18">
        <f t="shared" si="3"/>
        <v>54</v>
      </c>
      <c r="C18" s="4">
        <f t="shared" si="4"/>
        <v>0.97910566149472156</v>
      </c>
      <c r="D18">
        <f>VLOOKUP(B18, Mort!$A$2:$E$111, IF($C$6="M",4,5))</f>
        <v>5.7800000000000004E-3</v>
      </c>
      <c r="E18" s="6">
        <f>ROUND(IF(B18 &lt; 65, Assumptions!$C$6, Assumptions!$C$7) * (1+Assumptions!$C$8) ^ (B18 - $C$7), 2)</f>
        <v>15638.46</v>
      </c>
      <c r="F18" s="6">
        <f t="shared" si="0"/>
        <v>15311.7</v>
      </c>
      <c r="G18" s="4">
        <f xml:space="preserve"> (1+Assumptions!$C$9) ^ - (B18 - $C$7)</f>
        <v>0.74202950092240738</v>
      </c>
      <c r="H18" s="6">
        <f t="shared" si="1"/>
        <v>11361.73</v>
      </c>
    </row>
    <row r="19" spans="1:8" x14ac:dyDescent="0.25">
      <c r="A19">
        <f t="shared" si="2"/>
        <v>2028</v>
      </c>
      <c r="B19">
        <f t="shared" si="3"/>
        <v>55</v>
      </c>
      <c r="C19" s="4">
        <f t="shared" si="4"/>
        <v>0.97344643077128201</v>
      </c>
      <c r="D19">
        <f>VLOOKUP(B19, Mort!$A$2:$E$111, IF($C$6="M",4,5))</f>
        <v>5.9899999999999997E-3</v>
      </c>
      <c r="E19" s="6">
        <f>ROUND(IF(B19 &lt; 65, Assumptions!$C$6, Assumptions!$C$7) * (1+Assumptions!$C$8) ^ (B19 - $C$7), 2)</f>
        <v>16498.57</v>
      </c>
      <c r="F19" s="6">
        <f t="shared" si="0"/>
        <v>16060.47</v>
      </c>
      <c r="G19" s="4">
        <f xml:space="preserve"> (1+Assumptions!$C$9) ^ - (B19 - $C$7)</f>
        <v>0.71486464443391851</v>
      </c>
      <c r="H19" s="6">
        <f t="shared" si="1"/>
        <v>11481.06</v>
      </c>
    </row>
    <row r="20" spans="1:8" x14ac:dyDescent="0.25">
      <c r="A20">
        <f t="shared" si="2"/>
        <v>2029</v>
      </c>
      <c r="B20">
        <f t="shared" si="3"/>
        <v>56</v>
      </c>
      <c r="C20" s="4">
        <f t="shared" si="4"/>
        <v>0.96761548665096198</v>
      </c>
      <c r="D20">
        <f>VLOOKUP(B20, Mort!$A$2:$E$111, IF($C$6="M",4,5))</f>
        <v>6.1500000000000001E-3</v>
      </c>
      <c r="E20" s="6">
        <f>ROUND(IF(B20 &lt; 65, Assumptions!$C$6, Assumptions!$C$7) * (1+Assumptions!$C$8) ^ (B20 - $C$7), 2)</f>
        <v>17405.990000000002</v>
      </c>
      <c r="F20" s="6">
        <f t="shared" si="0"/>
        <v>16842.310000000001</v>
      </c>
      <c r="G20" s="4">
        <f xml:space="preserve"> (1+Assumptions!$C$9) ^ - (B20 - $C$7)</f>
        <v>0.68869426246042242</v>
      </c>
      <c r="H20" s="6">
        <f t="shared" si="1"/>
        <v>11599.2</v>
      </c>
    </row>
    <row r="21" spans="1:8" x14ac:dyDescent="0.25">
      <c r="A21">
        <f t="shared" si="2"/>
        <v>2030</v>
      </c>
      <c r="B21">
        <f t="shared" si="3"/>
        <v>57</v>
      </c>
      <c r="C21" s="4">
        <f t="shared" si="4"/>
        <v>0.96166465140805857</v>
      </c>
      <c r="D21">
        <f>VLOOKUP(B21, Mort!$A$2:$E$111, IF($C$6="M",4,5))</f>
        <v>6.2500000000000003E-3</v>
      </c>
      <c r="E21" s="6">
        <f>ROUND(IF(B21 &lt; 65, Assumptions!$C$6, Assumptions!$C$7) * (1+Assumptions!$C$8) ^ (B21 - $C$7), 2)</f>
        <v>18363.32</v>
      </c>
      <c r="F21" s="6">
        <f t="shared" si="0"/>
        <v>17659.36</v>
      </c>
      <c r="G21" s="4">
        <f xml:space="preserve"> (1+Assumptions!$C$9) ^ - (B21 - $C$7)</f>
        <v>0.66348194842044539</v>
      </c>
      <c r="H21" s="6">
        <f t="shared" si="1"/>
        <v>11716.67</v>
      </c>
    </row>
    <row r="22" spans="1:8" x14ac:dyDescent="0.25">
      <c r="A22">
        <f t="shared" si="2"/>
        <v>2031</v>
      </c>
      <c r="B22">
        <f t="shared" si="3"/>
        <v>58</v>
      </c>
      <c r="C22" s="4">
        <f t="shared" si="4"/>
        <v>0.95565424733675819</v>
      </c>
      <c r="D22">
        <f>VLOOKUP(B22, Mort!$A$2:$E$111, IF($C$6="M",4,5))</f>
        <v>6.4799999999999996E-3</v>
      </c>
      <c r="E22" s="6">
        <f>ROUND(IF(B22 &lt; 65, Assumptions!$C$6, Assumptions!$C$7) * (1+Assumptions!$C$8) ^ (B22 - $C$7), 2)</f>
        <v>19373.3</v>
      </c>
      <c r="F22" s="6">
        <f t="shared" si="0"/>
        <v>18514.18</v>
      </c>
      <c r="G22" s="4">
        <f xml:space="preserve"> (1+Assumptions!$C$9) ^ - (B22 - $C$7)</f>
        <v>0.63919262853607461</v>
      </c>
      <c r="H22" s="6">
        <f t="shared" si="1"/>
        <v>11834.13</v>
      </c>
    </row>
    <row r="23" spans="1:8" x14ac:dyDescent="0.25">
      <c r="A23">
        <f t="shared" si="2"/>
        <v>2032</v>
      </c>
      <c r="B23">
        <f t="shared" si="3"/>
        <v>59</v>
      </c>
      <c r="C23" s="4">
        <f t="shared" si="4"/>
        <v>0.94946160781401601</v>
      </c>
      <c r="D23">
        <f>VLOOKUP(B23, Mort!$A$2:$E$111, IF($C$6="M",4,5))</f>
        <v>6.7600000000000004E-3</v>
      </c>
      <c r="E23" s="6">
        <f>ROUND(IF(B23 &lt; 65, Assumptions!$C$6, Assumptions!$C$7) * (1+Assumptions!$C$8) ^ (B23 - $C$7), 2)</f>
        <v>20438.84</v>
      </c>
      <c r="F23" s="6">
        <f t="shared" si="0"/>
        <v>19405.89</v>
      </c>
      <c r="G23" s="4">
        <f xml:space="preserve"> (1+Assumptions!$C$9) ^ - (B23 - $C$7)</f>
        <v>0.61579251304053428</v>
      </c>
      <c r="H23" s="6">
        <f t="shared" si="1"/>
        <v>11950</v>
      </c>
    </row>
    <row r="24" spans="1:8" x14ac:dyDescent="0.25">
      <c r="A24">
        <f t="shared" si="2"/>
        <v>2033</v>
      </c>
      <c r="B24">
        <f t="shared" si="3"/>
        <v>60</v>
      </c>
      <c r="C24" s="4">
        <f t="shared" si="4"/>
        <v>0.94304324734519329</v>
      </c>
      <c r="D24">
        <f>VLOOKUP(B24, Mort!$A$2:$E$111, IF($C$6="M",4,5))</f>
        <v>7.1000000000000004E-3</v>
      </c>
      <c r="E24" s="6">
        <f>ROUND(IF(B24 &lt; 65, Assumptions!$C$6, Assumptions!$C$7) * (1+Assumptions!$C$8) ^ (B24 - $C$7), 2)</f>
        <v>21562.97</v>
      </c>
      <c r="F24" s="6">
        <f t="shared" si="0"/>
        <v>20334.810000000001</v>
      </c>
      <c r="G24" s="4">
        <f xml:space="preserve"> (1+Assumptions!$C$9) ^ - (B24 - $C$7)</f>
        <v>0.59324904917199839</v>
      </c>
      <c r="H24" s="6">
        <f t="shared" si="1"/>
        <v>12063.61</v>
      </c>
    </row>
    <row r="25" spans="1:8" x14ac:dyDescent="0.25">
      <c r="A25">
        <f t="shared" si="2"/>
        <v>2034</v>
      </c>
      <c r="B25">
        <f t="shared" si="3"/>
        <v>61</v>
      </c>
      <c r="C25" s="4">
        <f t="shared" si="4"/>
        <v>0.93634764028904238</v>
      </c>
      <c r="D25">
        <f>VLOOKUP(B25, Mort!$A$2:$E$111, IF($C$6="M",4,5))</f>
        <v>7.3099999999999997E-3</v>
      </c>
      <c r="E25" s="6">
        <f>ROUND(IF(B25 &lt; 65, Assumptions!$C$6, Assumptions!$C$7) * (1+Assumptions!$C$8) ^ (B25 - $C$7), 2)</f>
        <v>22748.94</v>
      </c>
      <c r="F25" s="6">
        <f t="shared" si="0"/>
        <v>21300.92</v>
      </c>
      <c r="G25" s="4">
        <f xml:space="preserve"> (1+Assumptions!$C$9) ^ - (B25 - $C$7)</f>
        <v>0.57153087588824492</v>
      </c>
      <c r="H25" s="6">
        <f t="shared" si="1"/>
        <v>12174.13</v>
      </c>
    </row>
    <row r="26" spans="1:8" x14ac:dyDescent="0.25">
      <c r="A26">
        <f t="shared" si="2"/>
        <v>2035</v>
      </c>
      <c r="B26">
        <f t="shared" si="3"/>
        <v>62</v>
      </c>
      <c r="C26" s="4">
        <f t="shared" si="4"/>
        <v>0.92950293903852943</v>
      </c>
      <c r="D26">
        <f>VLOOKUP(B26, Mort!$A$2:$E$111, IF($C$6="M",4,5))</f>
        <v>7.5300000000000002E-3</v>
      </c>
      <c r="E26" s="6">
        <f>ROUND(IF(B26 &lt; 65, Assumptions!$C$6, Assumptions!$C$7) * (1+Assumptions!$C$8) ^ (B26 - $C$7), 2)</f>
        <v>24000.13</v>
      </c>
      <c r="F26" s="6">
        <f t="shared" si="0"/>
        <v>22308.19</v>
      </c>
      <c r="G26" s="4">
        <f xml:space="preserve"> (1+Assumptions!$C$9) ^ - (B26 - $C$7)</f>
        <v>0.55060778023915702</v>
      </c>
      <c r="H26" s="6">
        <f t="shared" si="1"/>
        <v>12283.06</v>
      </c>
    </row>
    <row r="27" spans="1:8" x14ac:dyDescent="0.25">
      <c r="A27">
        <f t="shared" si="2"/>
        <v>2036</v>
      </c>
      <c r="B27">
        <f t="shared" si="3"/>
        <v>63</v>
      </c>
      <c r="C27" s="4">
        <f t="shared" si="4"/>
        <v>0.92250378190756932</v>
      </c>
      <c r="D27">
        <f>VLOOKUP(B27, Mort!$A$2:$E$111, IF($C$6="M",4,5))</f>
        <v>7.7099999999999998E-3</v>
      </c>
      <c r="E27" s="6">
        <f>ROUND(IF(B27 &lt; 65, Assumptions!$C$6, Assumptions!$C$7) * (1+Assumptions!$C$8) ^ (B27 - $C$7), 2)</f>
        <v>25320.13</v>
      </c>
      <c r="F27" s="6">
        <f t="shared" si="0"/>
        <v>23357.919999999998</v>
      </c>
      <c r="G27" s="4">
        <f xml:space="preserve"> (1+Assumptions!$C$9) ^ - (B27 - $C$7)</f>
        <v>0.5304506553363747</v>
      </c>
      <c r="H27" s="6">
        <f t="shared" si="1"/>
        <v>12390.22</v>
      </c>
    </row>
    <row r="28" spans="1:8" x14ac:dyDescent="0.25">
      <c r="A28">
        <f t="shared" si="2"/>
        <v>2037</v>
      </c>
      <c r="B28">
        <f t="shared" si="3"/>
        <v>64</v>
      </c>
      <c r="C28" s="4">
        <f t="shared" si="4"/>
        <v>0.91539127774906193</v>
      </c>
      <c r="D28">
        <f>VLOOKUP(B28, Mort!$A$2:$E$111, IF($C$6="M",4,5))</f>
        <v>7.9299999999999995E-3</v>
      </c>
      <c r="E28" s="6">
        <f>ROUND(IF(B28 &lt; 65, Assumptions!$C$6, Assumptions!$C$7) * (1+Assumptions!$C$8) ^ (B28 - $C$7), 2)</f>
        <v>26712.74</v>
      </c>
      <c r="F28" s="6">
        <f t="shared" si="0"/>
        <v>24452.61</v>
      </c>
      <c r="G28" s="4">
        <f xml:space="preserve"> (1+Assumptions!$C$9) ^ - (B28 - $C$7)</f>
        <v>0.51103145986163268</v>
      </c>
      <c r="H28" s="6">
        <f t="shared" si="1"/>
        <v>12496.05</v>
      </c>
    </row>
    <row r="29" spans="1:8" x14ac:dyDescent="0.25">
      <c r="A29">
        <f t="shared" si="2"/>
        <v>2038</v>
      </c>
      <c r="B29">
        <f t="shared" si="3"/>
        <v>65</v>
      </c>
      <c r="C29" s="4">
        <f t="shared" si="4"/>
        <v>0.90813222491651191</v>
      </c>
      <c r="D29">
        <f>VLOOKUP(B29, Mort!$A$2:$E$111, IF($C$6="M",4,5))</f>
        <v>8.2900000000000005E-3</v>
      </c>
      <c r="E29" s="6">
        <f>ROUND(IF(B29 &lt; 65, Assumptions!$C$6, Assumptions!$C$7) * (1+Assumptions!$C$8) ^ (B29 - $C$7), 2)</f>
        <v>11607.42</v>
      </c>
      <c r="F29" s="6">
        <f t="shared" si="0"/>
        <v>10541.07</v>
      </c>
      <c r="G29" s="4">
        <f xml:space="preserve"> (1+Assumptions!$C$9) ^ - (B29 - $C$7)</f>
        <v>0.49232317905744954</v>
      </c>
      <c r="H29" s="6">
        <f t="shared" si="1"/>
        <v>5189.6099999999997</v>
      </c>
    </row>
    <row r="30" spans="1:8" x14ac:dyDescent="0.25">
      <c r="A30">
        <f t="shared" si="2"/>
        <v>2039</v>
      </c>
      <c r="B30">
        <f t="shared" si="3"/>
        <v>66</v>
      </c>
      <c r="C30" s="4">
        <f t="shared" si="4"/>
        <v>0.90060380877195401</v>
      </c>
      <c r="D30">
        <f>VLOOKUP(B30, Mort!$A$2:$E$111, IF($C$6="M",4,5))</f>
        <v>8.8599999999999998E-3</v>
      </c>
      <c r="E30" s="6">
        <f>ROUND(IF(B30 &lt; 65, Assumptions!$C$6, Assumptions!$C$7) * (1+Assumptions!$C$8) ^ (B30 - $C$7), 2)</f>
        <v>12245.83</v>
      </c>
      <c r="F30" s="6">
        <f t="shared" si="0"/>
        <v>11028.64</v>
      </c>
      <c r="G30" s="4">
        <f xml:space="preserve"> (1+Assumptions!$C$9) ^ - (B30 - $C$7)</f>
        <v>0.47429978714590515</v>
      </c>
      <c r="H30" s="6">
        <f t="shared" si="1"/>
        <v>5230.88</v>
      </c>
    </row>
    <row r="31" spans="1:8" x14ac:dyDescent="0.25">
      <c r="A31">
        <f t="shared" si="2"/>
        <v>2040</v>
      </c>
      <c r="B31">
        <f t="shared" si="3"/>
        <v>67</v>
      </c>
      <c r="C31" s="4">
        <f t="shared" si="4"/>
        <v>0.89262445902623455</v>
      </c>
      <c r="D31">
        <f>VLOOKUP(B31, Mort!$A$2:$E$111, IF($C$6="M",4,5))</f>
        <v>9.6100000000000005E-3</v>
      </c>
      <c r="E31" s="6">
        <f>ROUND(IF(B31 &lt; 65, Assumptions!$C$6, Assumptions!$C$7) * (1+Assumptions!$C$8) ^ (B31 - $C$7), 2)</f>
        <v>12919.35</v>
      </c>
      <c r="F31" s="6">
        <f t="shared" si="0"/>
        <v>11532.13</v>
      </c>
      <c r="G31" s="4">
        <f xml:space="preserve"> (1+Assumptions!$C$9) ^ - (B31 - $C$7)</f>
        <v>0.45693621112322269</v>
      </c>
      <c r="H31" s="6">
        <f t="shared" si="1"/>
        <v>5269.45</v>
      </c>
    </row>
    <row r="32" spans="1:8" x14ac:dyDescent="0.25">
      <c r="A32">
        <f t="shared" si="2"/>
        <v>2041</v>
      </c>
      <c r="B32">
        <f t="shared" si="3"/>
        <v>68</v>
      </c>
      <c r="C32" s="4">
        <f t="shared" si="4"/>
        <v>0.88404633797499244</v>
      </c>
      <c r="D32">
        <f>VLOOKUP(B32, Mort!$A$2:$E$111, IF($C$6="M",4,5))</f>
        <v>1.0460000000000001E-2</v>
      </c>
      <c r="E32" s="6">
        <f>ROUND(IF(B32 &lt; 65, Assumptions!$C$6, Assumptions!$C$7) * (1+Assumptions!$C$8) ^ (B32 - $C$7), 2)</f>
        <v>13629.91</v>
      </c>
      <c r="F32" s="6">
        <f t="shared" si="0"/>
        <v>12049.47</v>
      </c>
      <c r="G32" s="4">
        <f xml:space="preserve"> (1+Assumptions!$C$9) ^ - (B32 - $C$7)</f>
        <v>0.44020829587979066</v>
      </c>
      <c r="H32" s="6">
        <f t="shared" si="1"/>
        <v>5304.28</v>
      </c>
    </row>
    <row r="33" spans="1:8" x14ac:dyDescent="0.25">
      <c r="A33">
        <f t="shared" si="2"/>
        <v>2042</v>
      </c>
      <c r="B33">
        <f t="shared" si="3"/>
        <v>69</v>
      </c>
      <c r="C33" s="4">
        <f t="shared" si="4"/>
        <v>0.87479921327977395</v>
      </c>
      <c r="D33">
        <f>VLOOKUP(B33, Mort!$A$2:$E$111, IF($C$6="M",4,5))</f>
        <v>1.1650000000000001E-2</v>
      </c>
      <c r="E33" s="6">
        <f>ROUND(IF(B33 &lt; 65, Assumptions!$C$6, Assumptions!$C$7) * (1+Assumptions!$C$8) ^ (B33 - $C$7), 2)</f>
        <v>14379.56</v>
      </c>
      <c r="F33" s="6">
        <f t="shared" si="0"/>
        <v>12579.23</v>
      </c>
      <c r="G33" s="4">
        <f xml:space="preserve"> (1+Assumptions!$C$9) ^ - (B33 - $C$7)</f>
        <v>0.42409277059710077</v>
      </c>
      <c r="H33" s="6">
        <f t="shared" si="1"/>
        <v>5334.76</v>
      </c>
    </row>
    <row r="34" spans="1:8" x14ac:dyDescent="0.25">
      <c r="A34">
        <f t="shared" si="2"/>
        <v>2043</v>
      </c>
      <c r="B34">
        <f t="shared" si="3"/>
        <v>70</v>
      </c>
      <c r="C34" s="4">
        <f t="shared" si="4"/>
        <v>0.86460780244506452</v>
      </c>
      <c r="D34">
        <f>VLOOKUP(B34, Mort!$A$2:$E$111, IF($C$6="M",4,5))</f>
        <v>1.3050000000000001E-2</v>
      </c>
      <c r="E34" s="6">
        <f>ROUND(IF(B34 &lt; 65, Assumptions!$C$6, Assumptions!$C$7) * (1+Assumptions!$C$8) ^ (B34 - $C$7), 2)</f>
        <v>15170.43</v>
      </c>
      <c r="F34" s="6">
        <f t="shared" si="0"/>
        <v>13116.47</v>
      </c>
      <c r="G34" s="4">
        <f xml:space="preserve"> (1+Assumptions!$C$9) ^ - (B34 - $C$7)</f>
        <v>0.40856721637485621</v>
      </c>
      <c r="H34" s="6">
        <f t="shared" si="1"/>
        <v>5358.96</v>
      </c>
    </row>
    <row r="35" spans="1:8" x14ac:dyDescent="0.25">
      <c r="A35">
        <f t="shared" si="2"/>
        <v>2044</v>
      </c>
      <c r="B35">
        <f t="shared" si="3"/>
        <v>71</v>
      </c>
      <c r="C35" s="4">
        <f t="shared" si="4"/>
        <v>0.85332467062315642</v>
      </c>
      <c r="D35">
        <f>VLOOKUP(B35, Mort!$A$2:$E$111, IF($C$6="M",4,5))</f>
        <v>1.4630000000000001E-2</v>
      </c>
      <c r="E35" s="6">
        <f>ROUND(IF(B35 &lt; 65, Assumptions!$C$6, Assumptions!$C$7) * (1+Assumptions!$C$8) ^ (B35 - $C$7), 2)</f>
        <v>16004.81</v>
      </c>
      <c r="F35" s="6">
        <f t="shared" si="0"/>
        <v>13657.3</v>
      </c>
      <c r="G35" s="4">
        <f xml:space="preserve"> (1+Assumptions!$C$9) ^ - (B35 - $C$7)</f>
        <v>0.39361003504321407</v>
      </c>
      <c r="H35" s="6">
        <f t="shared" si="1"/>
        <v>5375.65</v>
      </c>
    </row>
    <row r="36" spans="1:8" x14ac:dyDescent="0.25">
      <c r="A36">
        <f t="shared" si="2"/>
        <v>2045</v>
      </c>
      <c r="B36">
        <f t="shared" si="3"/>
        <v>72</v>
      </c>
      <c r="C36" s="4">
        <f t="shared" si="4"/>
        <v>0.84084053069193965</v>
      </c>
      <c r="D36">
        <f>VLOOKUP(B36, Mort!$A$2:$E$111, IF($C$6="M",4,5))</f>
        <v>1.6330000000000001E-2</v>
      </c>
      <c r="E36" s="6">
        <f>ROUND(IF(B36 &lt; 65, Assumptions!$C$6, Assumptions!$C$7) * (1+Assumptions!$C$8) ^ (B36 - $C$7), 2)</f>
        <v>16885.07</v>
      </c>
      <c r="F36" s="6">
        <f t="shared" si="0"/>
        <v>14197.65</v>
      </c>
      <c r="G36" s="4">
        <f xml:space="preserve"> (1+Assumptions!$C$9) ^ - (B36 - $C$7)</f>
        <v>0.3792004191167766</v>
      </c>
      <c r="H36" s="6">
        <f t="shared" si="1"/>
        <v>5383.75</v>
      </c>
    </row>
    <row r="37" spans="1:8" x14ac:dyDescent="0.25">
      <c r="A37">
        <f t="shared" si="2"/>
        <v>2046</v>
      </c>
      <c r="B37">
        <f t="shared" si="3"/>
        <v>73</v>
      </c>
      <c r="C37" s="4">
        <f t="shared" si="4"/>
        <v>0.82710960482574036</v>
      </c>
      <c r="D37">
        <f>VLOOKUP(B37, Mort!$A$2:$E$111, IF($C$6="M",4,5))</f>
        <v>1.8020000000000001E-2</v>
      </c>
      <c r="E37" s="6">
        <f>ROUND(IF(B37 &lt; 65, Assumptions!$C$6, Assumptions!$C$7) * (1+Assumptions!$C$8) ^ (B37 - $C$7), 2)</f>
        <v>17813.75</v>
      </c>
      <c r="F37" s="6">
        <f t="shared" si="0"/>
        <v>14733.92</v>
      </c>
      <c r="G37" s="4">
        <f xml:space="preserve"> (1+Assumptions!$C$9) ^ - (B37 - $C$7)</f>
        <v>0.36531832284853233</v>
      </c>
      <c r="H37" s="6">
        <f t="shared" si="1"/>
        <v>5382.57</v>
      </c>
    </row>
    <row r="38" spans="1:8" x14ac:dyDescent="0.25">
      <c r="A38">
        <f t="shared" si="2"/>
        <v>2047</v>
      </c>
      <c r="B38">
        <f t="shared" si="3"/>
        <v>74</v>
      </c>
      <c r="C38" s="4">
        <f t="shared" si="4"/>
        <v>0.81220508974678052</v>
      </c>
      <c r="D38">
        <f>VLOOKUP(B38, Mort!$A$2:$E$111, IF($C$6="M",4,5))</f>
        <v>1.9949999999999999E-2</v>
      </c>
      <c r="E38" s="6">
        <f>ROUND(IF(B38 &lt; 65, Assumptions!$C$6, Assumptions!$C$7) * (1+Assumptions!$C$8) ^ (B38 - $C$7), 2)</f>
        <v>18793.509999999998</v>
      </c>
      <c r="F38" s="6">
        <f t="shared" si="0"/>
        <v>15264.18</v>
      </c>
      <c r="G38" s="4">
        <f xml:space="preserve"> (1+Assumptions!$C$9) ^ - (B38 - $C$7)</f>
        <v>0.35194443434348005</v>
      </c>
      <c r="H38" s="6">
        <f t="shared" si="1"/>
        <v>5372.14</v>
      </c>
    </row>
    <row r="39" spans="1:8" x14ac:dyDescent="0.25">
      <c r="A39">
        <f t="shared" si="2"/>
        <v>2048</v>
      </c>
      <c r="B39">
        <f t="shared" si="3"/>
        <v>75</v>
      </c>
      <c r="C39" s="4">
        <f t="shared" si="4"/>
        <v>0.79600159820633221</v>
      </c>
      <c r="D39">
        <f>VLOOKUP(B39, Mort!$A$2:$E$111, IF($C$6="M",4,5))</f>
        <v>2.205E-2</v>
      </c>
      <c r="E39" s="6">
        <f>ROUND(IF(B39 &lt; 65, Assumptions!$C$6, Assumptions!$C$7) * (1+Assumptions!$C$8) ^ (B39 - $C$7), 2)</f>
        <v>19827.150000000001</v>
      </c>
      <c r="F39" s="6">
        <f t="shared" si="0"/>
        <v>15782.44</v>
      </c>
      <c r="G39" s="4">
        <f xml:space="preserve"> (1+Assumptions!$C$9) ^ - (B39 - $C$7)</f>
        <v>0.33906014869314072</v>
      </c>
      <c r="H39" s="6">
        <f t="shared" si="1"/>
        <v>5351.2</v>
      </c>
    </row>
    <row r="40" spans="1:8" x14ac:dyDescent="0.25">
      <c r="A40">
        <f t="shared" si="2"/>
        <v>2049</v>
      </c>
      <c r="B40">
        <f t="shared" si="3"/>
        <v>76</v>
      </c>
      <c r="C40" s="4">
        <f t="shared" si="4"/>
        <v>0.77844976296588253</v>
      </c>
      <c r="D40">
        <f>VLOOKUP(B40, Mort!$A$2:$E$111, IF($C$6="M",4,5))</f>
        <v>2.4389999999999998E-2</v>
      </c>
      <c r="E40" s="6">
        <f>ROUND(IF(B40 &lt; 65, Assumptions!$C$6, Assumptions!$C$7) * (1+Assumptions!$C$8) ^ (B40 - $C$7), 2)</f>
        <v>20917.64</v>
      </c>
      <c r="F40" s="6">
        <f t="shared" si="0"/>
        <v>16283.33</v>
      </c>
      <c r="G40" s="4">
        <f xml:space="preserve"> (1+Assumptions!$C$9) ^ - (B40 - $C$7)</f>
        <v>0.32664754209358454</v>
      </c>
      <c r="H40" s="6">
        <f t="shared" si="1"/>
        <v>5318.91</v>
      </c>
    </row>
    <row r="41" spans="1:8" x14ac:dyDescent="0.25">
      <c r="A41">
        <f t="shared" si="2"/>
        <v>2050</v>
      </c>
      <c r="B41">
        <f t="shared" si="3"/>
        <v>77</v>
      </c>
      <c r="C41" s="4">
        <f t="shared" si="4"/>
        <v>0.75946337324714464</v>
      </c>
      <c r="D41">
        <f>VLOOKUP(B41, Mort!$A$2:$E$111, IF($C$6="M",4,5))</f>
        <v>2.726E-2</v>
      </c>
      <c r="E41" s="6">
        <f>ROUND(IF(B41 &lt; 65, Assumptions!$C$6, Assumptions!$C$7) * (1+Assumptions!$C$8) ^ (B41 - $C$7), 2)</f>
        <v>22068.11</v>
      </c>
      <c r="F41" s="6">
        <f t="shared" si="0"/>
        <v>16759.919999999998</v>
      </c>
      <c r="G41" s="4">
        <f xml:space="preserve"> (1+Assumptions!$C$9) ^ - (B41 - $C$7)</f>
        <v>0.31468934691096767</v>
      </c>
      <c r="H41" s="6">
        <f t="shared" si="1"/>
        <v>5274.17</v>
      </c>
    </row>
    <row r="42" spans="1:8" x14ac:dyDescent="0.25">
      <c r="A42">
        <f t="shared" si="2"/>
        <v>2051</v>
      </c>
      <c r="B42">
        <f t="shared" si="3"/>
        <v>78</v>
      </c>
      <c r="C42" s="4">
        <f t="shared" si="4"/>
        <v>0.73876040169242752</v>
      </c>
      <c r="D42">
        <f>VLOOKUP(B42, Mort!$A$2:$E$111, IF($C$6="M",4,5))</f>
        <v>3.0640000000000001E-2</v>
      </c>
      <c r="E42" s="6">
        <f>ROUND(IF(B42 &lt; 65, Assumptions!$C$6, Assumptions!$C$7) * (1+Assumptions!$C$8) ^ (B42 - $C$7), 2)</f>
        <v>23281.86</v>
      </c>
      <c r="F42" s="6">
        <f t="shared" si="0"/>
        <v>17199.72</v>
      </c>
      <c r="G42" s="4">
        <f xml:space="preserve"> (1+Assumptions!$C$9) ^ - (B42 - $C$7)</f>
        <v>0.30316892765989178</v>
      </c>
      <c r="H42" s="6">
        <f t="shared" si="1"/>
        <v>5214.42</v>
      </c>
    </row>
    <row r="43" spans="1:8" x14ac:dyDescent="0.25">
      <c r="A43">
        <f t="shared" si="2"/>
        <v>2052</v>
      </c>
      <c r="B43">
        <f t="shared" si="3"/>
        <v>79</v>
      </c>
      <c r="C43" s="4">
        <f t="shared" si="4"/>
        <v>0.7161247829845715</v>
      </c>
      <c r="D43">
        <f>VLOOKUP(B43, Mort!$A$2:$E$111, IF($C$6="M",4,5))</f>
        <v>3.4590000000000003E-2</v>
      </c>
      <c r="E43" s="6">
        <f>ROUND(IF(B43 &lt; 65, Assumptions!$C$6, Assumptions!$C$7) * (1+Assumptions!$C$8) ^ (B43 - $C$7), 2)</f>
        <v>24562.36</v>
      </c>
      <c r="F43" s="6">
        <f t="shared" si="0"/>
        <v>17589.71</v>
      </c>
      <c r="G43" s="4">
        <f xml:space="preserve"> (1+Assumptions!$C$9) ^ - (B43 - $C$7)</f>
        <v>0.29207025786116741</v>
      </c>
      <c r="H43" s="6">
        <f t="shared" si="1"/>
        <v>5137.43</v>
      </c>
    </row>
    <row r="44" spans="1:8" x14ac:dyDescent="0.25">
      <c r="A44">
        <f t="shared" si="2"/>
        <v>2053</v>
      </c>
      <c r="B44">
        <f t="shared" si="3"/>
        <v>80</v>
      </c>
      <c r="C44" s="4">
        <f t="shared" si="4"/>
        <v>0.69135402674113511</v>
      </c>
      <c r="D44">
        <f>VLOOKUP(B44, Mort!$A$2:$E$111, IF($C$6="M",4,5))</f>
        <v>3.8989999999999997E-2</v>
      </c>
      <c r="E44" s="6">
        <f>ROUND(IF(B44 &lt; 65, Assumptions!$C$6, Assumptions!$C$7) * (1+Assumptions!$C$8) ^ (B44 - $C$7), 2)</f>
        <v>25913.29</v>
      </c>
      <c r="F44" s="6">
        <f t="shared" si="0"/>
        <v>17915.259999999998</v>
      </c>
      <c r="G44" s="4">
        <f xml:space="preserve"> (1+Assumptions!$C$9) ^ - (B44 - $C$7)</f>
        <v>0.2813778977467894</v>
      </c>
      <c r="H44" s="6">
        <f t="shared" si="1"/>
        <v>5040.96</v>
      </c>
    </row>
    <row r="45" spans="1:8" x14ac:dyDescent="0.25">
      <c r="A45">
        <f t="shared" si="2"/>
        <v>2054</v>
      </c>
      <c r="B45">
        <f t="shared" si="3"/>
        <v>81</v>
      </c>
      <c r="C45" s="4">
        <f t="shared" si="4"/>
        <v>0.66439813323849828</v>
      </c>
      <c r="D45">
        <f>VLOOKUP(B45, Mort!$A$2:$E$111, IF($C$6="M",4,5))</f>
        <v>4.4010000000000001E-2</v>
      </c>
      <c r="E45" s="6">
        <f>ROUND(IF(B45 &lt; 65, Assumptions!$C$6, Assumptions!$C$7) * (1+Assumptions!$C$8) ^ (B45 - $C$7), 2)</f>
        <v>27338.52</v>
      </c>
      <c r="F45" s="6">
        <f t="shared" si="0"/>
        <v>18163.66</v>
      </c>
      <c r="G45" s="4">
        <f xml:space="preserve"> (1+Assumptions!$C$9) ^ - (B45 - $C$7)</f>
        <v>0.27107697278110732</v>
      </c>
      <c r="H45" s="6">
        <f t="shared" si="1"/>
        <v>4923.75</v>
      </c>
    </row>
    <row r="46" spans="1:8" x14ac:dyDescent="0.25">
      <c r="A46">
        <f t="shared" si="2"/>
        <v>2055</v>
      </c>
      <c r="B46">
        <f t="shared" si="3"/>
        <v>82</v>
      </c>
      <c r="C46" s="4">
        <f t="shared" si="4"/>
        <v>0.63515797139467201</v>
      </c>
      <c r="D46">
        <f>VLOOKUP(B46, Mort!$A$2:$E$111, IF($C$6="M",4,5))</f>
        <v>4.9669999999999999E-2</v>
      </c>
      <c r="E46" s="6">
        <f>ROUND(IF(B46 &lt; 65, Assumptions!$C$6, Assumptions!$C$7) * (1+Assumptions!$C$8) ^ (B46 - $C$7), 2)</f>
        <v>28842.14</v>
      </c>
      <c r="F46" s="6">
        <f t="shared" ref="F46:F77" si="5">ROUND(C46*E46, 2)</f>
        <v>18319.32</v>
      </c>
      <c r="G46" s="4">
        <f xml:space="preserve"> (1+Assumptions!$C$9) ^ - (B46 - $C$7)</f>
        <v>0.26115315296831149</v>
      </c>
      <c r="H46" s="6">
        <f t="shared" ref="H46:H77" si="6">ROUND(F46*G46, 2)</f>
        <v>4784.1499999999996</v>
      </c>
    </row>
    <row r="47" spans="1:8" x14ac:dyDescent="0.25">
      <c r="A47">
        <f t="shared" ref="A47:A78" si="7">A46+1</f>
        <v>2056</v>
      </c>
      <c r="B47">
        <f t="shared" ref="B47:B78" si="8">B46+1</f>
        <v>83</v>
      </c>
      <c r="C47" s="4">
        <f t="shared" ref="C47:C78" si="9">C46*(1-D46)</f>
        <v>0.60360967495549867</v>
      </c>
      <c r="D47">
        <f>VLOOKUP(B47, Mort!$A$2:$E$111, IF($C$6="M",4,5))</f>
        <v>5.586E-2</v>
      </c>
      <c r="E47" s="6">
        <f>ROUND(IF(B47 &lt; 65, Assumptions!$C$6, Assumptions!$C$7) * (1+Assumptions!$C$8) ^ (B47 - $C$7), 2)</f>
        <v>30428.46</v>
      </c>
      <c r="F47" s="6">
        <f t="shared" si="5"/>
        <v>18366.91</v>
      </c>
      <c r="G47" s="4">
        <f xml:space="preserve"> (1+Assumptions!$C$9) ^ - (B47 - $C$7)</f>
        <v>0.25159263291744843</v>
      </c>
      <c r="H47" s="6">
        <f t="shared" si="6"/>
        <v>4620.9799999999996</v>
      </c>
    </row>
    <row r="48" spans="1:8" x14ac:dyDescent="0.25">
      <c r="A48">
        <f t="shared" si="7"/>
        <v>2057</v>
      </c>
      <c r="B48">
        <f t="shared" si="8"/>
        <v>84</v>
      </c>
      <c r="C48" s="4">
        <f t="shared" si="9"/>
        <v>0.56989203851248449</v>
      </c>
      <c r="D48">
        <f>VLOOKUP(B48, Mort!$A$2:$E$111, IF($C$6="M",4,5))</f>
        <v>6.2460000000000002E-2</v>
      </c>
      <c r="E48" s="6">
        <f>ROUND(IF(B48 &lt; 65, Assumptions!$C$6, Assumptions!$C$7) * (1+Assumptions!$C$8) ^ (B48 - $C$7), 2)</f>
        <v>32102.03</v>
      </c>
      <c r="F48" s="6">
        <f t="shared" si="5"/>
        <v>18294.689999999999</v>
      </c>
      <c r="G48" s="4">
        <f xml:space="preserve"> (1+Assumptions!$C$9) ^ - (B48 - $C$7)</f>
        <v>0.24238211263723355</v>
      </c>
      <c r="H48" s="6">
        <f t="shared" si="6"/>
        <v>4434.3100000000004</v>
      </c>
    </row>
    <row r="49" spans="1:8" x14ac:dyDescent="0.25">
      <c r="A49">
        <f t="shared" si="7"/>
        <v>2058</v>
      </c>
      <c r="B49">
        <f t="shared" si="8"/>
        <v>85</v>
      </c>
      <c r="C49" s="4">
        <f t="shared" si="9"/>
        <v>0.53429658178699468</v>
      </c>
      <c r="D49">
        <f>VLOOKUP(B49, Mort!$A$2:$E$111, IF($C$6="M",4,5))</f>
        <v>6.9690000000000002E-2</v>
      </c>
      <c r="E49" s="6">
        <f>ROUND(IF(B49 &lt; 65, Assumptions!$C$6, Assumptions!$C$7) * (1+Assumptions!$C$8) ^ (B49 - $C$7), 2)</f>
        <v>33867.64</v>
      </c>
      <c r="F49" s="6">
        <f t="shared" si="5"/>
        <v>18095.36</v>
      </c>
      <c r="G49" s="4">
        <f xml:space="preserve"> (1+Assumptions!$C$9) ^ - (B49 - $C$7)</f>
        <v>0.23350877903394368</v>
      </c>
      <c r="H49" s="6">
        <f t="shared" si="6"/>
        <v>4225.43</v>
      </c>
    </row>
    <row r="50" spans="1:8" x14ac:dyDescent="0.25">
      <c r="A50">
        <f t="shared" si="7"/>
        <v>2059</v>
      </c>
      <c r="B50">
        <f t="shared" si="8"/>
        <v>86</v>
      </c>
      <c r="C50" s="4">
        <f t="shared" si="9"/>
        <v>0.49706145300225901</v>
      </c>
      <c r="D50">
        <f>VLOOKUP(B50, Mort!$A$2:$E$111, IF($C$6="M",4,5))</f>
        <v>7.7679999999999999E-2</v>
      </c>
      <c r="E50" s="6">
        <f>ROUND(IF(B50 &lt; 65, Assumptions!$C$6, Assumptions!$C$7) * (1+Assumptions!$C$8) ^ (B50 - $C$7), 2)</f>
        <v>35730.36</v>
      </c>
      <c r="F50" s="6">
        <f t="shared" si="5"/>
        <v>17760.18</v>
      </c>
      <c r="G50" s="4">
        <f xml:space="preserve"> (1+Assumptions!$C$9) ^ - (B50 - $C$7)</f>
        <v>0.22496028808665094</v>
      </c>
      <c r="H50" s="6">
        <f t="shared" si="6"/>
        <v>3995.34</v>
      </c>
    </row>
    <row r="51" spans="1:8" x14ac:dyDescent="0.25">
      <c r="A51">
        <f t="shared" si="7"/>
        <v>2060</v>
      </c>
      <c r="B51">
        <f t="shared" si="8"/>
        <v>87</v>
      </c>
      <c r="C51" s="4">
        <f t="shared" si="9"/>
        <v>0.45844971933304357</v>
      </c>
      <c r="D51">
        <f>VLOOKUP(B51, Mort!$A$2:$E$111, IF($C$6="M",4,5))</f>
        <v>8.8319999999999996E-2</v>
      </c>
      <c r="E51" s="6">
        <f>ROUND(IF(B51 &lt; 65, Assumptions!$C$6, Assumptions!$C$7) * (1+Assumptions!$C$8) ^ (B51 - $C$7), 2)</f>
        <v>37695.53</v>
      </c>
      <c r="F51" s="6">
        <f t="shared" si="5"/>
        <v>17281.509999999998</v>
      </c>
      <c r="G51" s="4">
        <f xml:space="preserve"> (1+Assumptions!$C$9) ^ - (B51 - $C$7)</f>
        <v>0.21672474767500091</v>
      </c>
      <c r="H51" s="6">
        <f t="shared" si="6"/>
        <v>3745.33</v>
      </c>
    </row>
    <row r="52" spans="1:8" x14ac:dyDescent="0.25">
      <c r="A52">
        <f t="shared" si="7"/>
        <v>2061</v>
      </c>
      <c r="B52">
        <f t="shared" si="8"/>
        <v>88</v>
      </c>
      <c r="C52" s="4">
        <f t="shared" si="9"/>
        <v>0.41795944012154918</v>
      </c>
      <c r="D52">
        <f>VLOOKUP(B52, Mort!$A$2:$E$111, IF($C$6="M",4,5))</f>
        <v>0.10051</v>
      </c>
      <c r="E52" s="6">
        <f>ROUND(IF(B52 &lt; 65, Assumptions!$C$6, Assumptions!$C$7) * (1+Assumptions!$C$8) ^ (B52 - $C$7), 2)</f>
        <v>39768.78</v>
      </c>
      <c r="F52" s="6">
        <f t="shared" si="5"/>
        <v>16621.740000000002</v>
      </c>
      <c r="G52" s="4">
        <f xml:space="preserve"> (1+Assumptions!$C$9) ^ - (B52 - $C$7)</f>
        <v>0.20879070103564634</v>
      </c>
      <c r="H52" s="6">
        <f t="shared" si="6"/>
        <v>3470.46</v>
      </c>
    </row>
    <row r="53" spans="1:8" x14ac:dyDescent="0.25">
      <c r="A53">
        <f t="shared" si="7"/>
        <v>2062</v>
      </c>
      <c r="B53">
        <f t="shared" si="8"/>
        <v>89</v>
      </c>
      <c r="C53" s="4">
        <f t="shared" si="9"/>
        <v>0.37595033679493228</v>
      </c>
      <c r="D53">
        <f>VLOOKUP(B53, Mort!$A$2:$E$111, IF($C$6="M",4,5))</f>
        <v>0.11428000000000001</v>
      </c>
      <c r="E53" s="6">
        <f>ROUND(IF(B53 &lt; 65, Assumptions!$C$6, Assumptions!$C$7) * (1+Assumptions!$C$8) ^ (B53 - $C$7), 2)</f>
        <v>41956.06</v>
      </c>
      <c r="F53" s="6">
        <f t="shared" si="5"/>
        <v>15773.39</v>
      </c>
      <c r="G53" s="4">
        <f xml:space="preserve"> (1+Assumptions!$C$9) ^ - (B53 - $C$7)</f>
        <v>0.20114711082432207</v>
      </c>
      <c r="H53" s="6">
        <f t="shared" si="6"/>
        <v>3172.77</v>
      </c>
    </row>
    <row r="54" spans="1:8" x14ac:dyDescent="0.25">
      <c r="A54">
        <f t="shared" si="7"/>
        <v>2063</v>
      </c>
      <c r="B54">
        <f t="shared" si="8"/>
        <v>90</v>
      </c>
      <c r="C54" s="4">
        <f t="shared" si="9"/>
        <v>0.33298673230600739</v>
      </c>
      <c r="D54">
        <f>VLOOKUP(B54, Mort!$A$2:$E$111, IF($C$6="M",4,5))</f>
        <v>0.12973999999999999</v>
      </c>
      <c r="E54" s="6">
        <f>ROUND(IF(B54 &lt; 65, Assumptions!$C$6, Assumptions!$C$7) * (1+Assumptions!$C$8) ^ (B54 - $C$7), 2)</f>
        <v>44263.65</v>
      </c>
      <c r="F54" s="6">
        <f t="shared" si="5"/>
        <v>14739.21</v>
      </c>
      <c r="G54" s="4">
        <f xml:space="preserve"> (1+Assumptions!$C$9) ^ - (B54 - $C$7)</f>
        <v>0.19378334376138928</v>
      </c>
      <c r="H54" s="6">
        <f t="shared" si="6"/>
        <v>2856.21</v>
      </c>
    </row>
    <row r="55" spans="1:8" x14ac:dyDescent="0.25">
      <c r="A55">
        <f t="shared" si="7"/>
        <v>2064</v>
      </c>
      <c r="B55">
        <f t="shared" si="8"/>
        <v>91</v>
      </c>
      <c r="C55" s="4">
        <f t="shared" si="9"/>
        <v>0.289785033656626</v>
      </c>
      <c r="D55">
        <f>VLOOKUP(B55, Mort!$A$2:$E$111, IF($C$6="M",4,5))</f>
        <v>0.14674000000000001</v>
      </c>
      <c r="E55" s="6">
        <f>ROUND(IF(B55 &lt; 65, Assumptions!$C$6, Assumptions!$C$7) * (1+Assumptions!$C$8) ^ (B55 - $C$7), 2)</f>
        <v>46698.15</v>
      </c>
      <c r="F55" s="6">
        <f t="shared" si="5"/>
        <v>13532.42</v>
      </c>
      <c r="G55" s="4">
        <f xml:space="preserve"> (1+Assumptions!$C$9) ^ - (B55 - $C$7)</f>
        <v>0.1866891558394887</v>
      </c>
      <c r="H55" s="6">
        <f t="shared" si="6"/>
        <v>2526.36</v>
      </c>
    </row>
    <row r="56" spans="1:8" x14ac:dyDescent="0.25">
      <c r="A56">
        <f t="shared" si="7"/>
        <v>2065</v>
      </c>
      <c r="B56">
        <f t="shared" si="8"/>
        <v>92</v>
      </c>
      <c r="C56" s="4">
        <f t="shared" si="9"/>
        <v>0.2472619778178527</v>
      </c>
      <c r="D56">
        <f>VLOOKUP(B56, Mort!$A$2:$E$111, IF($C$6="M",4,5))</f>
        <v>0.16491</v>
      </c>
      <c r="E56" s="6">
        <f>ROUND(IF(B56 &lt; 65, Assumptions!$C$6, Assumptions!$C$7) * (1+Assumptions!$C$8) ^ (B56 - $C$7), 2)</f>
        <v>49266.55</v>
      </c>
      <c r="F56" s="6">
        <f t="shared" si="5"/>
        <v>12181.74</v>
      </c>
      <c r="G56" s="4">
        <f xml:space="preserve"> (1+Assumptions!$C$9) ^ - (B56 - $C$7)</f>
        <v>0.17985467807272515</v>
      </c>
      <c r="H56" s="6">
        <f t="shared" si="6"/>
        <v>2190.94</v>
      </c>
    </row>
    <row r="57" spans="1:8" x14ac:dyDescent="0.25">
      <c r="A57">
        <f t="shared" si="7"/>
        <v>2066</v>
      </c>
      <c r="B57">
        <f t="shared" si="8"/>
        <v>93</v>
      </c>
      <c r="C57" s="4">
        <f t="shared" si="9"/>
        <v>0.20648600505591061</v>
      </c>
      <c r="D57">
        <f>VLOOKUP(B57, Mort!$A$2:$E$111, IF($C$6="M",4,5))</f>
        <v>0.18393000000000001</v>
      </c>
      <c r="E57" s="6">
        <f>ROUND(IF(B57 &lt; 65, Assumptions!$C$6, Assumptions!$C$7) * (1+Assumptions!$C$8) ^ (B57 - $C$7), 2)</f>
        <v>51976.21</v>
      </c>
      <c r="F57" s="6">
        <f t="shared" si="5"/>
        <v>10732.36</v>
      </c>
      <c r="G57" s="4">
        <f xml:space="preserve"> (1+Assumptions!$C$9) ^ - (B57 - $C$7)</f>
        <v>0.17327040276755792</v>
      </c>
      <c r="H57" s="6">
        <f t="shared" si="6"/>
        <v>1859.6</v>
      </c>
    </row>
    <row r="58" spans="1:8" x14ac:dyDescent="0.25">
      <c r="A58">
        <f t="shared" si="7"/>
        <v>2067</v>
      </c>
      <c r="B58">
        <f t="shared" si="8"/>
        <v>94</v>
      </c>
      <c r="C58" s="4">
        <f t="shared" si="9"/>
        <v>0.16850703414597695</v>
      </c>
      <c r="D58">
        <f>VLOOKUP(B58, Mort!$A$2:$E$111, IF($C$6="M",4,5))</f>
        <v>0.20374</v>
      </c>
      <c r="E58" s="6">
        <f>ROUND(IF(B58 &lt; 65, Assumptions!$C$6, Assumptions!$C$7) * (1+Assumptions!$C$8) ^ (B58 - $C$7), 2)</f>
        <v>54834.9</v>
      </c>
      <c r="F58" s="6">
        <f t="shared" si="5"/>
        <v>9240.07</v>
      </c>
      <c r="G58" s="4">
        <f xml:space="preserve"> (1+Assumptions!$C$9) ^ - (B58 - $C$7)</f>
        <v>0.16692717029629858</v>
      </c>
      <c r="H58" s="6">
        <f t="shared" si="6"/>
        <v>1542.42</v>
      </c>
    </row>
    <row r="59" spans="1:8" x14ac:dyDescent="0.25">
      <c r="A59">
        <f t="shared" si="7"/>
        <v>2068</v>
      </c>
      <c r="B59">
        <f t="shared" si="8"/>
        <v>95</v>
      </c>
      <c r="C59" s="4">
        <f t="shared" si="9"/>
        <v>0.1341754110090756</v>
      </c>
      <c r="D59">
        <f>VLOOKUP(B59, Mort!$A$2:$E$111, IF($C$6="M",4,5))</f>
        <v>0.22444</v>
      </c>
      <c r="E59" s="6">
        <f>ROUND(IF(B59 &lt; 65, Assumptions!$C$6, Assumptions!$C$7) * (1+Assumptions!$C$8) ^ (B59 - $C$7), 2)</f>
        <v>57850.82</v>
      </c>
      <c r="F59" s="6">
        <f t="shared" si="5"/>
        <v>7762.16</v>
      </c>
      <c r="G59" s="4">
        <f xml:space="preserve"> (1+Assumptions!$C$9) ^ - (B59 - $C$7)</f>
        <v>0.16081615635481558</v>
      </c>
      <c r="H59" s="6">
        <f t="shared" si="6"/>
        <v>1248.28</v>
      </c>
    </row>
    <row r="60" spans="1:8" x14ac:dyDescent="0.25">
      <c r="A60">
        <f t="shared" si="7"/>
        <v>2069</v>
      </c>
      <c r="B60">
        <f t="shared" si="8"/>
        <v>96</v>
      </c>
      <c r="C60" s="4">
        <f t="shared" si="9"/>
        <v>0.10406108176219868</v>
      </c>
      <c r="D60">
        <f>VLOOKUP(B60, Mort!$A$2:$E$111, IF($C$6="M",4,5))</f>
        <v>0.24607000000000001</v>
      </c>
      <c r="E60" s="6">
        <f>ROUND(IF(B60 &lt; 65, Assumptions!$C$6, Assumptions!$C$7) * (1+Assumptions!$C$8) ^ (B60 - $C$7), 2)</f>
        <v>61032.61</v>
      </c>
      <c r="F60" s="6">
        <f t="shared" si="5"/>
        <v>6351.12</v>
      </c>
      <c r="G60" s="4">
        <f xml:space="preserve"> (1+Assumptions!$C$9) ^ - (B60 - $C$7)</f>
        <v>0.15492885968672021</v>
      </c>
      <c r="H60" s="6">
        <f t="shared" si="6"/>
        <v>983.97</v>
      </c>
    </row>
    <row r="61" spans="1:8" x14ac:dyDescent="0.25">
      <c r="A61">
        <f t="shared" si="7"/>
        <v>2070</v>
      </c>
      <c r="B61">
        <f t="shared" si="8"/>
        <v>97</v>
      </c>
      <c r="C61" s="4">
        <f t="shared" si="9"/>
        <v>7.8454771372974449E-2</v>
      </c>
      <c r="D61">
        <f>VLOOKUP(B61, Mort!$A$2:$E$111, IF($C$6="M",4,5))</f>
        <v>0.26862000000000003</v>
      </c>
      <c r="E61" s="6">
        <f>ROUND(IF(B61 &lt; 65, Assumptions!$C$6, Assumptions!$C$7) * (1+Assumptions!$C$8) ^ (B61 - $C$7), 2)</f>
        <v>64389.4</v>
      </c>
      <c r="F61" s="6">
        <f t="shared" si="5"/>
        <v>5051.66</v>
      </c>
      <c r="G61" s="4">
        <f xml:space="preserve"> (1+Assumptions!$C$9) ^ - (B61 - $C$7)</f>
        <v>0.14925709025695588</v>
      </c>
      <c r="H61" s="6">
        <f t="shared" si="6"/>
        <v>754</v>
      </c>
    </row>
    <row r="62" spans="1:8" x14ac:dyDescent="0.25">
      <c r="A62">
        <f t="shared" si="7"/>
        <v>2071</v>
      </c>
      <c r="B62">
        <f t="shared" si="8"/>
        <v>98</v>
      </c>
      <c r="C62" s="4">
        <f t="shared" si="9"/>
        <v>5.7380250686766048E-2</v>
      </c>
      <c r="D62">
        <f>VLOOKUP(B62, Mort!$A$2:$E$111, IF($C$6="M",4,5))</f>
        <v>0.28631000000000001</v>
      </c>
      <c r="E62" s="6">
        <f>ROUND(IF(B62 &lt; 65, Assumptions!$C$6, Assumptions!$C$7) * (1+Assumptions!$C$8) ^ (B62 - $C$7), 2)</f>
        <v>67930.820000000007</v>
      </c>
      <c r="F62" s="6">
        <f t="shared" si="5"/>
        <v>3897.89</v>
      </c>
      <c r="G62" s="4">
        <f xml:space="preserve"> (1+Assumptions!$C$9) ^ - (B62 - $C$7)</f>
        <v>0.14379295785833901</v>
      </c>
      <c r="H62" s="6">
        <f t="shared" si="6"/>
        <v>560.49</v>
      </c>
    </row>
    <row r="63" spans="1:8" x14ac:dyDescent="0.25">
      <c r="A63">
        <f t="shared" si="7"/>
        <v>2072</v>
      </c>
      <c r="B63">
        <f t="shared" si="8"/>
        <v>99</v>
      </c>
      <c r="C63" s="4">
        <f t="shared" si="9"/>
        <v>4.0951711112638053E-2</v>
      </c>
      <c r="D63">
        <f>VLOOKUP(B63, Mort!$A$2:$E$111, IF($C$6="M",4,5))</f>
        <v>0.31012000000000001</v>
      </c>
      <c r="E63" s="6">
        <f>ROUND(IF(B63 &lt; 65, Assumptions!$C$6, Assumptions!$C$7) * (1+Assumptions!$C$8) ^ (B63 - $C$7), 2)</f>
        <v>71667.02</v>
      </c>
      <c r="F63" s="6">
        <f t="shared" si="5"/>
        <v>2934.89</v>
      </c>
      <c r="G63" s="4">
        <f xml:space="preserve"> (1+Assumptions!$C$9) ^ - (B63 - $C$7)</f>
        <v>0.13852886113520135</v>
      </c>
      <c r="H63" s="6">
        <f t="shared" si="6"/>
        <v>406.57</v>
      </c>
    </row>
    <row r="64" spans="1:8" x14ac:dyDescent="0.25">
      <c r="A64">
        <f t="shared" si="7"/>
        <v>2073</v>
      </c>
      <c r="B64">
        <f t="shared" si="8"/>
        <v>100</v>
      </c>
      <c r="C64" s="4">
        <f t="shared" si="9"/>
        <v>2.8251766462386741E-2</v>
      </c>
      <c r="D64">
        <f>VLOOKUP(B64, Mort!$A$2:$E$111, IF($C$6="M",4,5))</f>
        <v>0.32535999999999998</v>
      </c>
      <c r="E64" s="6">
        <f>ROUND(IF(B64 &lt; 65, Assumptions!$C$6, Assumptions!$C$7) * (1+Assumptions!$C$8) ^ (B64 - $C$7), 2)</f>
        <v>75608.7</v>
      </c>
      <c r="F64" s="6">
        <f t="shared" si="5"/>
        <v>2136.08</v>
      </c>
      <c r="G64" s="4">
        <f xml:space="preserve"> (1+Assumptions!$C$9) ^ - (B64 - $C$7)</f>
        <v>0.13345747700886451</v>
      </c>
      <c r="H64" s="6">
        <f t="shared" si="6"/>
        <v>285.08</v>
      </c>
    </row>
    <row r="65" spans="1:8" x14ac:dyDescent="0.25">
      <c r="A65">
        <f t="shared" si="7"/>
        <v>2074</v>
      </c>
      <c r="B65">
        <f t="shared" si="8"/>
        <v>101</v>
      </c>
      <c r="C65" s="4">
        <f t="shared" si="9"/>
        <v>1.9059771726184591E-2</v>
      </c>
      <c r="D65">
        <f>VLOOKUP(B65, Mort!$A$2:$E$111, IF($C$6="M",4,5))</f>
        <v>0.36043999999999998</v>
      </c>
      <c r="E65" s="6">
        <f>ROUND(IF(B65 &lt; 65, Assumptions!$C$6, Assumptions!$C$7) * (1+Assumptions!$C$8) ^ (B65 - $C$7), 2)</f>
        <v>79767.179999999993</v>
      </c>
      <c r="F65" s="6">
        <f t="shared" si="5"/>
        <v>1520.34</v>
      </c>
      <c r="G65" s="4">
        <f xml:space="preserve"> (1+Assumptions!$C$9) ^ - (B65 - $C$7)</f>
        <v>0.12857175049023553</v>
      </c>
      <c r="H65" s="6">
        <f t="shared" si="6"/>
        <v>195.47</v>
      </c>
    </row>
    <row r="66" spans="1:8" x14ac:dyDescent="0.25">
      <c r="A66">
        <f t="shared" si="7"/>
        <v>2075</v>
      </c>
      <c r="B66">
        <f t="shared" si="8"/>
        <v>102</v>
      </c>
      <c r="C66" s="4">
        <f t="shared" si="9"/>
        <v>1.2189867605198617E-2</v>
      </c>
      <c r="D66">
        <f>VLOOKUP(B66, Mort!$A$2:$E$111, IF($C$6="M",4,5))</f>
        <v>0.39716000000000001</v>
      </c>
      <c r="E66" s="6">
        <f>ROUND(IF(B66 &lt; 65, Assumptions!$C$6, Assumptions!$C$7) * (1+Assumptions!$C$8) ^ (B66 - $C$7), 2)</f>
        <v>84154.38</v>
      </c>
      <c r="F66" s="6">
        <f t="shared" si="5"/>
        <v>1025.83</v>
      </c>
      <c r="G66" s="4">
        <f xml:space="preserve"> (1+Assumptions!$C$9) ^ - (B66 - $C$7)</f>
        <v>0.12386488486535213</v>
      </c>
      <c r="H66" s="6">
        <f t="shared" si="6"/>
        <v>127.06</v>
      </c>
    </row>
    <row r="67" spans="1:8" x14ac:dyDescent="0.25">
      <c r="A67">
        <f t="shared" si="7"/>
        <v>2076</v>
      </c>
      <c r="B67">
        <f t="shared" si="8"/>
        <v>103</v>
      </c>
      <c r="C67" s="4">
        <f t="shared" si="9"/>
        <v>7.3485397871179345E-3</v>
      </c>
      <c r="D67">
        <f>VLOOKUP(B67, Mort!$A$2:$E$111, IF($C$6="M",4,5))</f>
        <v>0.45526</v>
      </c>
      <c r="E67" s="6">
        <f>ROUND(IF(B67 &lt; 65, Assumptions!$C$6, Assumptions!$C$7) * (1+Assumptions!$C$8) ^ (B67 - $C$7), 2)</f>
        <v>88782.87</v>
      </c>
      <c r="F67" s="6">
        <f t="shared" si="5"/>
        <v>652.41999999999996</v>
      </c>
      <c r="G67" s="4">
        <f xml:space="preserve"> (1+Assumptions!$C$9) ^ - (B67 - $C$7)</f>
        <v>0.11933033224022363</v>
      </c>
      <c r="H67" s="6">
        <f t="shared" si="6"/>
        <v>77.849999999999994</v>
      </c>
    </row>
    <row r="68" spans="1:8" x14ac:dyDescent="0.25">
      <c r="A68">
        <f t="shared" si="7"/>
        <v>2077</v>
      </c>
      <c r="B68">
        <f t="shared" si="8"/>
        <v>104</v>
      </c>
      <c r="C68" s="4">
        <f t="shared" si="9"/>
        <v>4.0030435636346237E-3</v>
      </c>
      <c r="D68">
        <f>VLOOKUP(B68, Mort!$A$2:$E$111, IF($C$6="M",4,5))</f>
        <v>0.52071000000000001</v>
      </c>
      <c r="E68" s="6">
        <f>ROUND(IF(B68 &lt; 65, Assumptions!$C$6, Assumptions!$C$7) * (1+Assumptions!$C$8) ^ (B68 - $C$7), 2)</f>
        <v>93665.93</v>
      </c>
      <c r="F68" s="6">
        <f t="shared" si="5"/>
        <v>374.95</v>
      </c>
      <c r="G68" s="4">
        <f xml:space="preserve"> (1+Assumptions!$C$9) ^ - (B68 - $C$7)</f>
        <v>0.11496178443181468</v>
      </c>
      <c r="H68" s="6">
        <f t="shared" si="6"/>
        <v>43.1</v>
      </c>
    </row>
    <row r="69" spans="1:8" x14ac:dyDescent="0.25">
      <c r="A69">
        <f t="shared" si="7"/>
        <v>2078</v>
      </c>
      <c r="B69">
        <f t="shared" si="8"/>
        <v>105</v>
      </c>
      <c r="C69" s="4">
        <f t="shared" si="9"/>
        <v>1.9186187496144389E-3</v>
      </c>
      <c r="D69">
        <f>VLOOKUP(B69, Mort!$A$2:$E$111, IF($C$6="M",4,5))</f>
        <v>0.58526999999999996</v>
      </c>
      <c r="E69" s="6">
        <f>ROUND(IF(B69 &lt; 65, Assumptions!$C$6, Assumptions!$C$7) * (1+Assumptions!$C$8) ^ (B69 - $C$7), 2)</f>
        <v>98817.55</v>
      </c>
      <c r="F69" s="6">
        <f t="shared" si="5"/>
        <v>189.59</v>
      </c>
      <c r="G69" s="4">
        <f xml:space="preserve"> (1+Assumptions!$C$9) ^ - (B69 - $C$7)</f>
        <v>0.11075316419249968</v>
      </c>
      <c r="H69" s="6">
        <f t="shared" si="6"/>
        <v>21</v>
      </c>
    </row>
    <row r="70" spans="1:8" x14ac:dyDescent="0.25">
      <c r="A70">
        <f t="shared" si="7"/>
        <v>2079</v>
      </c>
      <c r="B70">
        <f t="shared" si="8"/>
        <v>106</v>
      </c>
      <c r="C70" s="4">
        <f t="shared" si="9"/>
        <v>7.9570875402759633E-4</v>
      </c>
      <c r="D70">
        <f>VLOOKUP(B70, Mort!$A$2:$E$111, IF($C$6="M",4,5))</f>
        <v>0.64480999999999999</v>
      </c>
      <c r="E70" s="6">
        <f>ROUND(IF(B70 &lt; 65, Assumptions!$C$6, Assumptions!$C$7) * (1+Assumptions!$C$8) ^ (B70 - $C$7), 2)</f>
        <v>104252.52</v>
      </c>
      <c r="F70" s="6">
        <f t="shared" si="5"/>
        <v>82.95</v>
      </c>
      <c r="G70" s="4">
        <f xml:space="preserve"> (1+Assumptions!$C$9) ^ - (B70 - $C$7)</f>
        <v>0.10669861675578005</v>
      </c>
      <c r="H70" s="6">
        <f t="shared" si="6"/>
        <v>8.85</v>
      </c>
    </row>
    <row r="71" spans="1:8" x14ac:dyDescent="0.25">
      <c r="A71">
        <f t="shared" si="7"/>
        <v>2080</v>
      </c>
      <c r="B71">
        <f t="shared" si="8"/>
        <v>107</v>
      </c>
      <c r="C71" s="4">
        <f t="shared" si="9"/>
        <v>2.8262779234306196E-4</v>
      </c>
      <c r="D71">
        <f>VLOOKUP(B71, Mort!$A$2:$E$111, IF($C$6="M",4,5))</f>
        <v>0.71040000000000003</v>
      </c>
      <c r="E71" s="6">
        <f>ROUND(IF(B71 &lt; 65, Assumptions!$C$6, Assumptions!$C$7) * (1+Assumptions!$C$8) ^ (B71 - $C$7), 2)</f>
        <v>109986.4</v>
      </c>
      <c r="F71" s="6">
        <f t="shared" si="5"/>
        <v>31.09</v>
      </c>
      <c r="G71" s="4">
        <f xml:space="preserve"> (1+Assumptions!$C$9) ^ - (B71 - $C$7)</f>
        <v>0.10279250169150292</v>
      </c>
      <c r="H71" s="6">
        <f t="shared" si="6"/>
        <v>3.2</v>
      </c>
    </row>
    <row r="72" spans="1:8" x14ac:dyDescent="0.25">
      <c r="A72">
        <f t="shared" si="7"/>
        <v>2081</v>
      </c>
      <c r="B72">
        <f t="shared" si="8"/>
        <v>108</v>
      </c>
      <c r="C72" s="4">
        <f t="shared" si="9"/>
        <v>8.1849008662550734E-5</v>
      </c>
      <c r="D72">
        <f>VLOOKUP(B72, Mort!$A$2:$E$111, IF($C$6="M",4,5))</f>
        <v>0.78266999999999998</v>
      </c>
      <c r="E72" s="6">
        <f>ROUND(IF(B72 &lt; 65, Assumptions!$C$6, Assumptions!$C$7) * (1+Assumptions!$C$8) ^ (B72 - $C$7), 2)</f>
        <v>116035.66</v>
      </c>
      <c r="F72" s="6">
        <f t="shared" si="5"/>
        <v>9.5</v>
      </c>
      <c r="G72" s="4">
        <f xml:space="preserve"> (1+Assumptions!$C$9) ^ - (B72 - $C$7)</f>
        <v>9.9029385059251393E-2</v>
      </c>
      <c r="H72" s="6">
        <f t="shared" si="6"/>
        <v>0.94</v>
      </c>
    </row>
    <row r="73" spans="1:8" x14ac:dyDescent="0.25">
      <c r="A73">
        <f t="shared" si="7"/>
        <v>2082</v>
      </c>
      <c r="B73">
        <f t="shared" si="8"/>
        <v>109</v>
      </c>
      <c r="C73" s="4">
        <f t="shared" si="9"/>
        <v>1.7788245052632154E-5</v>
      </c>
      <c r="D73">
        <f>VLOOKUP(B73, Mort!$A$2:$E$111, IF($C$6="M",4,5))</f>
        <v>0.86228000000000005</v>
      </c>
      <c r="E73" s="6">
        <f>ROUND(IF(B73 &lt; 65, Assumptions!$C$6, Assumptions!$C$7) * (1+Assumptions!$C$8) ^ (B73 - $C$7), 2)</f>
        <v>122417.62</v>
      </c>
      <c r="F73" s="6">
        <f t="shared" si="5"/>
        <v>2.1800000000000002</v>
      </c>
      <c r="G73" s="4">
        <f xml:space="preserve"> (1+Assumptions!$C$9) ^ - (B73 - $C$7)</f>
        <v>9.5404031848989754E-2</v>
      </c>
      <c r="H73" s="6">
        <f t="shared" si="6"/>
        <v>0.21</v>
      </c>
    </row>
    <row r="74" spans="1:8" x14ac:dyDescent="0.25">
      <c r="A74">
        <f t="shared" si="7"/>
        <v>2083</v>
      </c>
      <c r="B74">
        <f t="shared" si="8"/>
        <v>110</v>
      </c>
      <c r="C74" s="4">
        <f t="shared" si="9"/>
        <v>2.4497971086484994E-6</v>
      </c>
      <c r="D74">
        <f>VLOOKUP(B74, Mort!$A$2:$E$111, IF($C$6="M",4,5))</f>
        <v>1</v>
      </c>
      <c r="E74" s="6">
        <f>ROUND(IF(B74 &lt; 65, Assumptions!$C$6, Assumptions!$C$7) * (1+Assumptions!$C$8) ^ (B74 - $C$7), 2)</f>
        <v>129150.59</v>
      </c>
      <c r="F74" s="6">
        <f t="shared" si="5"/>
        <v>0.32</v>
      </c>
      <c r="G74" s="4">
        <f xml:space="preserve"> (1+Assumptions!$C$9) ^ - (B74 - $C$7)</f>
        <v>9.1911398698448693E-2</v>
      </c>
      <c r="H74" s="6">
        <f t="shared" si="6"/>
        <v>0.03</v>
      </c>
    </row>
    <row r="75" spans="1:8" x14ac:dyDescent="0.25">
      <c r="A75">
        <f t="shared" si="7"/>
        <v>2084</v>
      </c>
      <c r="B75">
        <f t="shared" si="8"/>
        <v>111</v>
      </c>
      <c r="C75" s="4">
        <f t="shared" si="9"/>
        <v>0</v>
      </c>
      <c r="D75">
        <f>VLOOKUP(B75, Mort!$A$2:$E$111, IF($C$6="M",4,5))</f>
        <v>1</v>
      </c>
      <c r="E75" s="6">
        <f>ROUND(IF(B75 &lt; 65, Assumptions!$C$6, Assumptions!$C$7) * (1+Assumptions!$C$8) ^ (B75 - $C$7), 2)</f>
        <v>136253.87</v>
      </c>
      <c r="F75" s="6">
        <f t="shared" si="5"/>
        <v>0</v>
      </c>
      <c r="G75" s="4">
        <f xml:space="preserve"> (1+Assumptions!$C$9) ^ - (B75 - $C$7)</f>
        <v>8.8546626877118215E-2</v>
      </c>
      <c r="H75" s="6">
        <f t="shared" si="6"/>
        <v>0</v>
      </c>
    </row>
    <row r="76" spans="1:8" x14ac:dyDescent="0.25">
      <c r="A76">
        <f t="shared" si="7"/>
        <v>2085</v>
      </c>
      <c r="B76">
        <f t="shared" si="8"/>
        <v>112</v>
      </c>
      <c r="C76" s="4">
        <f t="shared" si="9"/>
        <v>0</v>
      </c>
      <c r="D76">
        <f>VLOOKUP(B76, Mort!$A$2:$E$111, IF($C$6="M",4,5))</f>
        <v>1</v>
      </c>
      <c r="E76" s="6">
        <f>ROUND(IF(B76 &lt; 65, Assumptions!$C$6, Assumptions!$C$7) * (1+Assumptions!$C$8) ^ (B76 - $C$7), 2)</f>
        <v>143747.82999999999</v>
      </c>
      <c r="F76" s="6">
        <f t="shared" si="5"/>
        <v>0</v>
      </c>
      <c r="G76" s="4">
        <f xml:space="preserve"> (1+Assumptions!$C$9) ^ - (B76 - $C$7)</f>
        <v>8.5305035527088832E-2</v>
      </c>
      <c r="H76" s="6">
        <f t="shared" si="6"/>
        <v>0</v>
      </c>
    </row>
    <row r="77" spans="1:8" x14ac:dyDescent="0.25">
      <c r="A77">
        <f t="shared" si="7"/>
        <v>2086</v>
      </c>
      <c r="B77">
        <f t="shared" si="8"/>
        <v>113</v>
      </c>
      <c r="C77" s="4">
        <f t="shared" si="9"/>
        <v>0</v>
      </c>
      <c r="D77">
        <f>VLOOKUP(B77, Mort!$A$2:$E$111, IF($C$6="M",4,5))</f>
        <v>1</v>
      </c>
      <c r="E77" s="6">
        <f>ROUND(IF(B77 &lt; 65, Assumptions!$C$6, Assumptions!$C$7) * (1+Assumptions!$C$8) ^ (B77 - $C$7), 2)</f>
        <v>151653.96</v>
      </c>
      <c r="F77" s="6">
        <f t="shared" si="5"/>
        <v>0</v>
      </c>
      <c r="G77" s="4">
        <f xml:space="preserve"> (1+Assumptions!$C$9) ^ - (B77 - $C$7)</f>
        <v>8.2182115151337984E-2</v>
      </c>
      <c r="H77" s="6">
        <f t="shared" si="6"/>
        <v>0</v>
      </c>
    </row>
    <row r="78" spans="1:8" x14ac:dyDescent="0.25">
      <c r="A78">
        <f t="shared" si="7"/>
        <v>2087</v>
      </c>
      <c r="B78">
        <f t="shared" si="8"/>
        <v>114</v>
      </c>
      <c r="C78" s="4">
        <f t="shared" si="9"/>
        <v>0</v>
      </c>
      <c r="D78">
        <f>VLOOKUP(B78, Mort!$A$2:$E$111, IF($C$6="M",4,5))</f>
        <v>1</v>
      </c>
      <c r="E78" s="6">
        <f>ROUND(IF(B78 &lt; 65, Assumptions!$C$6, Assumptions!$C$7) * (1+Assumptions!$C$8) ^ (B78 - $C$7), 2)</f>
        <v>159994.93</v>
      </c>
      <c r="F78" s="6">
        <f t="shared" ref="F78:F109" si="10">ROUND(C78*E78, 2)</f>
        <v>0</v>
      </c>
      <c r="G78" s="4">
        <f xml:space="preserve"> (1+Assumptions!$C$9) ^ - (B78 - $C$7)</f>
        <v>7.9173521340402675E-2</v>
      </c>
      <c r="H78" s="6">
        <f t="shared" ref="H78:H109" si="11">ROUND(F78*G78, 2)</f>
        <v>0</v>
      </c>
    </row>
    <row r="79" spans="1:8" x14ac:dyDescent="0.25">
      <c r="A79">
        <f t="shared" ref="A79:A113" si="12">A78+1</f>
        <v>2088</v>
      </c>
      <c r="B79">
        <f t="shared" ref="B79:B113" si="13">B78+1</f>
        <v>115</v>
      </c>
      <c r="C79" s="4">
        <f t="shared" ref="C79:C113" si="14">C78*(1-D78)</f>
        <v>0</v>
      </c>
      <c r="D79">
        <f>VLOOKUP(B79, Mort!$A$2:$E$111, IF($C$6="M",4,5))</f>
        <v>1</v>
      </c>
      <c r="E79" s="6">
        <f>ROUND(IF(B79 &lt; 65, Assumptions!$C$6, Assumptions!$C$7) * (1+Assumptions!$C$8) ^ (B79 - $C$7), 2)</f>
        <v>168794.65</v>
      </c>
      <c r="F79" s="6">
        <f t="shared" si="10"/>
        <v>0</v>
      </c>
      <c r="G79" s="4">
        <f xml:space="preserve"> (1+Assumptions!$C$9) ^ - (B79 - $C$7)</f>
        <v>7.6275068728711634E-2</v>
      </c>
      <c r="H79" s="6">
        <f t="shared" si="11"/>
        <v>0</v>
      </c>
    </row>
    <row r="80" spans="1:8" x14ac:dyDescent="0.25">
      <c r="A80">
        <f t="shared" si="12"/>
        <v>2089</v>
      </c>
      <c r="B80">
        <f t="shared" si="13"/>
        <v>116</v>
      </c>
      <c r="C80" s="4">
        <f t="shared" si="14"/>
        <v>0</v>
      </c>
      <c r="D80">
        <f>VLOOKUP(B80, Mort!$A$2:$E$111, IF($C$6="M",4,5))</f>
        <v>1</v>
      </c>
      <c r="E80" s="6">
        <f>ROUND(IF(B80 &lt; 65, Assumptions!$C$6, Assumptions!$C$7) * (1+Assumptions!$C$8) ^ (B80 - $C$7), 2)</f>
        <v>178078.36</v>
      </c>
      <c r="F80" s="6">
        <f t="shared" si="10"/>
        <v>0</v>
      </c>
      <c r="G80" s="4">
        <f xml:space="preserve"> (1+Assumptions!$C$9) ^ - (B80 - $C$7)</f>
        <v>7.3482725172169208E-2</v>
      </c>
      <c r="H80" s="6">
        <f t="shared" si="11"/>
        <v>0</v>
      </c>
    </row>
    <row r="81" spans="1:8" x14ac:dyDescent="0.25">
      <c r="A81">
        <f t="shared" si="12"/>
        <v>2090</v>
      </c>
      <c r="B81">
        <f t="shared" si="13"/>
        <v>117</v>
      </c>
      <c r="C81" s="4">
        <f t="shared" si="14"/>
        <v>0</v>
      </c>
      <c r="D81">
        <f>VLOOKUP(B81, Mort!$A$2:$E$111, IF($C$6="M",4,5))</f>
        <v>1</v>
      </c>
      <c r="E81" s="6">
        <f>ROUND(IF(B81 &lt; 65, Assumptions!$C$6, Assumptions!$C$7) * (1+Assumptions!$C$8) ^ (B81 - $C$7), 2)</f>
        <v>187872.67</v>
      </c>
      <c r="F81" s="6">
        <f t="shared" si="10"/>
        <v>0</v>
      </c>
      <c r="G81" s="4">
        <f xml:space="preserve"> (1+Assumptions!$C$9) ^ - (B81 - $C$7)</f>
        <v>7.0792606138891323E-2</v>
      </c>
      <c r="H81" s="6">
        <f t="shared" si="11"/>
        <v>0</v>
      </c>
    </row>
    <row r="82" spans="1:8" x14ac:dyDescent="0.25">
      <c r="A82">
        <f t="shared" si="12"/>
        <v>2091</v>
      </c>
      <c r="B82">
        <f t="shared" si="13"/>
        <v>118</v>
      </c>
      <c r="C82" s="4">
        <f t="shared" si="14"/>
        <v>0</v>
      </c>
      <c r="D82">
        <f>VLOOKUP(B82, Mort!$A$2:$E$111, IF($C$6="M",4,5))</f>
        <v>1</v>
      </c>
      <c r="E82" s="6">
        <f>ROUND(IF(B82 &lt; 65, Assumptions!$C$6, Assumptions!$C$7) * (1+Assumptions!$C$8) ^ (B82 - $C$7), 2)</f>
        <v>198205.66</v>
      </c>
      <c r="F82" s="6">
        <f t="shared" si="10"/>
        <v>0</v>
      </c>
      <c r="G82" s="4">
        <f xml:space="preserve"> (1+Assumptions!$C$9) ^ - (B82 - $C$7)</f>
        <v>6.8200969305290293E-2</v>
      </c>
      <c r="H82" s="6">
        <f t="shared" si="11"/>
        <v>0</v>
      </c>
    </row>
    <row r="83" spans="1:8" x14ac:dyDescent="0.25">
      <c r="A83">
        <f t="shared" si="12"/>
        <v>2092</v>
      </c>
      <c r="B83">
        <f t="shared" si="13"/>
        <v>119</v>
      </c>
      <c r="C83" s="4">
        <f t="shared" si="14"/>
        <v>0</v>
      </c>
      <c r="D83">
        <f>VLOOKUP(B83, Mort!$A$2:$E$111, IF($C$6="M",4,5))</f>
        <v>1</v>
      </c>
      <c r="E83" s="6">
        <f>ROUND(IF(B83 &lt; 65, Assumptions!$C$6, Assumptions!$C$7) * (1+Assumptions!$C$8) ^ (B83 - $C$7), 2)</f>
        <v>209106.98</v>
      </c>
      <c r="F83" s="6">
        <f t="shared" si="10"/>
        <v>0</v>
      </c>
      <c r="G83" s="4">
        <f xml:space="preserve"> (1+Assumptions!$C$9) ^ - (B83 - $C$7)</f>
        <v>6.5704209349990647E-2</v>
      </c>
      <c r="H83" s="6">
        <f t="shared" si="11"/>
        <v>0</v>
      </c>
    </row>
    <row r="84" spans="1:8" x14ac:dyDescent="0.25">
      <c r="A84">
        <f t="shared" si="12"/>
        <v>2093</v>
      </c>
      <c r="B84">
        <f t="shared" si="13"/>
        <v>120</v>
      </c>
      <c r="C84" s="4">
        <f t="shared" si="14"/>
        <v>0</v>
      </c>
      <c r="D84">
        <f>VLOOKUP(B84, Mort!$A$2:$E$111, IF($C$6="M",4,5))</f>
        <v>1</v>
      </c>
      <c r="E84" s="6">
        <f>ROUND(IF(B84 &lt; 65, Assumptions!$C$6, Assumptions!$C$7) * (1+Assumptions!$C$8) ^ (B84 - $C$7), 2)</f>
        <v>220607.86</v>
      </c>
      <c r="F84" s="6">
        <f t="shared" si="10"/>
        <v>0</v>
      </c>
      <c r="G84" s="4">
        <f xml:space="preserve"> (1+Assumptions!$C$9) ^ - (B84 - $C$7)</f>
        <v>6.3298852938333955E-2</v>
      </c>
      <c r="H84" s="6">
        <f t="shared" si="11"/>
        <v>0</v>
      </c>
    </row>
    <row r="85" spans="1:8" x14ac:dyDescent="0.25">
      <c r="A85">
        <f t="shared" si="12"/>
        <v>2094</v>
      </c>
      <c r="B85">
        <f t="shared" si="13"/>
        <v>121</v>
      </c>
      <c r="C85" s="4">
        <f t="shared" si="14"/>
        <v>0</v>
      </c>
      <c r="D85">
        <f>VLOOKUP(B85, Mort!$A$2:$E$111, IF($C$6="M",4,5))</f>
        <v>1</v>
      </c>
      <c r="E85" s="6">
        <f>ROUND(IF(B85 &lt; 65, Assumptions!$C$6, Assumptions!$C$7) * (1+Assumptions!$C$8) ^ (B85 - $C$7), 2)</f>
        <v>232741.29</v>
      </c>
      <c r="F85" s="6">
        <f t="shared" si="10"/>
        <v>0</v>
      </c>
      <c r="G85" s="4">
        <f xml:space="preserve"> (1+Assumptions!$C$9) ^ - (B85 - $C$7)</f>
        <v>6.0981553890495137E-2</v>
      </c>
      <c r="H85" s="6">
        <f t="shared" si="11"/>
        <v>0</v>
      </c>
    </row>
    <row r="86" spans="1:8" x14ac:dyDescent="0.25">
      <c r="A86">
        <f t="shared" si="12"/>
        <v>2095</v>
      </c>
      <c r="B86">
        <f t="shared" si="13"/>
        <v>122</v>
      </c>
      <c r="C86" s="4">
        <f t="shared" si="14"/>
        <v>0</v>
      </c>
      <c r="D86">
        <f>VLOOKUP(B86, Mort!$A$2:$E$111, IF($C$6="M",4,5))</f>
        <v>1</v>
      </c>
      <c r="E86" s="6">
        <f>ROUND(IF(B86 &lt; 65, Assumptions!$C$6, Assumptions!$C$7) * (1+Assumptions!$C$8) ^ (B86 - $C$7), 2)</f>
        <v>245542.06</v>
      </c>
      <c r="F86" s="6">
        <f t="shared" si="10"/>
        <v>0</v>
      </c>
      <c r="G86" s="4">
        <f xml:space="preserve"> (1+Assumptions!$C$9) ^ - (B86 - $C$7)</f>
        <v>5.8749088526488566E-2</v>
      </c>
      <c r="H86" s="6">
        <f t="shared" si="11"/>
        <v>0</v>
      </c>
    </row>
    <row r="87" spans="1:8" x14ac:dyDescent="0.25">
      <c r="A87">
        <f t="shared" si="12"/>
        <v>2096</v>
      </c>
      <c r="B87">
        <f t="shared" si="13"/>
        <v>123</v>
      </c>
      <c r="C87" s="4">
        <f t="shared" si="14"/>
        <v>0</v>
      </c>
      <c r="D87">
        <f>VLOOKUP(B87, Mort!$A$2:$E$111, IF($C$6="M",4,5))</f>
        <v>1</v>
      </c>
      <c r="E87" s="6">
        <f>ROUND(IF(B87 &lt; 65, Assumptions!$C$6, Assumptions!$C$7) * (1+Assumptions!$C$8) ^ (B87 - $C$7), 2)</f>
        <v>259046.88</v>
      </c>
      <c r="F87" s="6">
        <f t="shared" si="10"/>
        <v>0</v>
      </c>
      <c r="G87" s="4">
        <f xml:space="preserve"> (1+Assumptions!$C$9) ^ - (B87 - $C$7)</f>
        <v>5.6598351181588215E-2</v>
      </c>
      <c r="H87" s="6">
        <f t="shared" si="11"/>
        <v>0</v>
      </c>
    </row>
    <row r="88" spans="1:8" x14ac:dyDescent="0.25">
      <c r="A88">
        <f t="shared" si="12"/>
        <v>2097</v>
      </c>
      <c r="B88">
        <f t="shared" si="13"/>
        <v>124</v>
      </c>
      <c r="C88" s="4">
        <f t="shared" si="14"/>
        <v>0</v>
      </c>
      <c r="D88">
        <f>VLOOKUP(B88, Mort!$A$2:$E$111, IF($C$6="M",4,5))</f>
        <v>1</v>
      </c>
      <c r="E88" s="6">
        <f>ROUND(IF(B88 &lt; 65, Assumptions!$C$6, Assumptions!$C$7) * (1+Assumptions!$C$8) ^ (B88 - $C$7), 2)</f>
        <v>273294.46000000002</v>
      </c>
      <c r="F88" s="6">
        <f t="shared" si="10"/>
        <v>0</v>
      </c>
      <c r="G88" s="4">
        <f xml:space="preserve"> (1+Assumptions!$C$9) ^ - (B88 - $C$7)</f>
        <v>5.4526349885923135E-2</v>
      </c>
      <c r="H88" s="6">
        <f t="shared" si="11"/>
        <v>0</v>
      </c>
    </row>
    <row r="89" spans="1:8" x14ac:dyDescent="0.25">
      <c r="A89">
        <f t="shared" si="12"/>
        <v>2098</v>
      </c>
      <c r="B89">
        <f t="shared" si="13"/>
        <v>125</v>
      </c>
      <c r="C89" s="4">
        <f t="shared" si="14"/>
        <v>0</v>
      </c>
      <c r="D89">
        <f>VLOOKUP(B89, Mort!$A$2:$E$111, IF($C$6="M",4,5))</f>
        <v>1</v>
      </c>
      <c r="E89" s="6">
        <f>ROUND(IF(B89 &lt; 65, Assumptions!$C$6, Assumptions!$C$7) * (1+Assumptions!$C$8) ^ (B89 - $C$7), 2)</f>
        <v>288325.65000000002</v>
      </c>
      <c r="F89" s="6">
        <f t="shared" si="10"/>
        <v>0</v>
      </c>
      <c r="G89" s="4">
        <f xml:space="preserve"> (1+Assumptions!$C$9) ^ - (B89 - $C$7)</f>
        <v>5.2530202202238085E-2</v>
      </c>
      <c r="H89" s="6">
        <f t="shared" si="11"/>
        <v>0</v>
      </c>
    </row>
    <row r="90" spans="1:8" x14ac:dyDescent="0.25">
      <c r="A90">
        <f t="shared" si="12"/>
        <v>2099</v>
      </c>
      <c r="B90">
        <f t="shared" si="13"/>
        <v>126</v>
      </c>
      <c r="C90" s="4">
        <f t="shared" si="14"/>
        <v>0</v>
      </c>
      <c r="D90">
        <f>VLOOKUP(B90, Mort!$A$2:$E$111, IF($C$6="M",4,5))</f>
        <v>1</v>
      </c>
      <c r="E90" s="6">
        <f>ROUND(IF(B90 &lt; 65, Assumptions!$C$6, Assumptions!$C$7) * (1+Assumptions!$C$8) ^ (B90 - $C$7), 2)</f>
        <v>304183.56</v>
      </c>
      <c r="F90" s="6">
        <f t="shared" si="10"/>
        <v>0</v>
      </c>
      <c r="G90" s="4">
        <f xml:space="preserve"> (1+Assumptions!$C$9) ^ - (B90 - $C$7)</f>
        <v>5.0607131216028979E-2</v>
      </c>
      <c r="H90" s="6">
        <f t="shared" si="11"/>
        <v>0</v>
      </c>
    </row>
    <row r="91" spans="1:8" x14ac:dyDescent="0.25">
      <c r="A91">
        <f t="shared" si="12"/>
        <v>2100</v>
      </c>
      <c r="B91">
        <f t="shared" si="13"/>
        <v>127</v>
      </c>
      <c r="C91" s="4">
        <f t="shared" si="14"/>
        <v>0</v>
      </c>
      <c r="D91">
        <f>VLOOKUP(B91, Mort!$A$2:$E$111, IF($C$6="M",4,5))</f>
        <v>1</v>
      </c>
      <c r="E91" s="6">
        <f>ROUND(IF(B91 &lt; 65, Assumptions!$C$6, Assumptions!$C$7) * (1+Assumptions!$C$8) ^ (B91 - $C$7), 2)</f>
        <v>320913.65999999997</v>
      </c>
      <c r="F91" s="6">
        <f t="shared" si="10"/>
        <v>0</v>
      </c>
      <c r="G91" s="4">
        <f xml:space="preserve"> (1+Assumptions!$C$9) ^ - (B91 - $C$7)</f>
        <v>4.8754461672474929E-2</v>
      </c>
      <c r="H91" s="6">
        <f t="shared" si="11"/>
        <v>0</v>
      </c>
    </row>
    <row r="92" spans="1:8" x14ac:dyDescent="0.25">
      <c r="A92">
        <f t="shared" si="12"/>
        <v>2101</v>
      </c>
      <c r="B92">
        <f t="shared" si="13"/>
        <v>128</v>
      </c>
      <c r="C92" s="4">
        <f t="shared" si="14"/>
        <v>0</v>
      </c>
      <c r="D92">
        <f>VLOOKUP(B92, Mort!$A$2:$E$111, IF($C$6="M",4,5))</f>
        <v>1</v>
      </c>
      <c r="E92" s="6">
        <f>ROUND(IF(B92 &lt; 65, Assumptions!$C$6, Assumptions!$C$7) * (1+Assumptions!$C$8) ^ (B92 - $C$7), 2)</f>
        <v>338563.91</v>
      </c>
      <c r="F92" s="6">
        <f t="shared" si="10"/>
        <v>0</v>
      </c>
      <c r="G92" s="4">
        <f xml:space="preserve"> (1+Assumptions!$C$9) ^ - (B92 - $C$7)</f>
        <v>4.6969616254792811E-2</v>
      </c>
      <c r="H92" s="6">
        <f t="shared" si="11"/>
        <v>0</v>
      </c>
    </row>
    <row r="93" spans="1:8" x14ac:dyDescent="0.25">
      <c r="A93">
        <f t="shared" si="12"/>
        <v>2102</v>
      </c>
      <c r="B93">
        <f t="shared" si="13"/>
        <v>129</v>
      </c>
      <c r="C93" s="4">
        <f t="shared" si="14"/>
        <v>0</v>
      </c>
      <c r="D93">
        <f>VLOOKUP(B93, Mort!$A$2:$E$111, IF($C$6="M",4,5))</f>
        <v>1</v>
      </c>
      <c r="E93" s="6">
        <f>ROUND(IF(B93 &lt; 65, Assumptions!$C$6, Assumptions!$C$7) * (1+Assumptions!$C$8) ^ (B93 - $C$7), 2)</f>
        <v>357184.92</v>
      </c>
      <c r="F93" s="6">
        <f t="shared" si="10"/>
        <v>0</v>
      </c>
      <c r="G93" s="4">
        <f xml:space="preserve"> (1+Assumptions!$C$9) ^ - (B93 - $C$7)</f>
        <v>4.5250111998836995E-2</v>
      </c>
      <c r="H93" s="6">
        <f t="shared" si="11"/>
        <v>0</v>
      </c>
    </row>
    <row r="94" spans="1:8" x14ac:dyDescent="0.25">
      <c r="A94">
        <f t="shared" si="12"/>
        <v>2103</v>
      </c>
      <c r="B94">
        <f t="shared" si="13"/>
        <v>130</v>
      </c>
      <c r="C94" s="4">
        <f t="shared" si="14"/>
        <v>0</v>
      </c>
      <c r="D94">
        <f>VLOOKUP(B94, Mort!$A$2:$E$111, IF($C$6="M",4,5))</f>
        <v>1</v>
      </c>
      <c r="E94" s="6">
        <f>ROUND(IF(B94 &lt; 65, Assumptions!$C$6, Assumptions!$C$7) * (1+Assumptions!$C$8) ^ (B94 - $C$7), 2)</f>
        <v>376830.09</v>
      </c>
      <c r="F94" s="6">
        <f t="shared" si="10"/>
        <v>0</v>
      </c>
      <c r="G94" s="4">
        <f xml:space="preserve"> (1+Assumptions!$C$9) ^ - (B94 - $C$7)</f>
        <v>4.3593556838956646E-2</v>
      </c>
      <c r="H94" s="6">
        <f t="shared" si="11"/>
        <v>0</v>
      </c>
    </row>
    <row r="95" spans="1:8" x14ac:dyDescent="0.25">
      <c r="A95">
        <f t="shared" si="12"/>
        <v>2104</v>
      </c>
      <c r="B95">
        <f t="shared" si="13"/>
        <v>131</v>
      </c>
      <c r="C95" s="4">
        <f t="shared" si="14"/>
        <v>0</v>
      </c>
      <c r="D95">
        <f>VLOOKUP(B95, Mort!$A$2:$E$111, IF($C$6="M",4,5))</f>
        <v>1</v>
      </c>
      <c r="E95" s="6">
        <f>ROUND(IF(B95 &lt; 65, Assumptions!$C$6, Assumptions!$C$7) * (1+Assumptions!$C$8) ^ (B95 - $C$7), 2)</f>
        <v>397555.75</v>
      </c>
      <c r="F95" s="6">
        <f t="shared" si="10"/>
        <v>0</v>
      </c>
      <c r="G95" s="4">
        <f xml:space="preserve"> (1+Assumptions!$C$9) ^ - (B95 - $C$7)</f>
        <v>4.199764628030505E-2</v>
      </c>
      <c r="H95" s="6">
        <f t="shared" si="11"/>
        <v>0</v>
      </c>
    </row>
    <row r="96" spans="1:8" x14ac:dyDescent="0.25">
      <c r="A96">
        <f t="shared" si="12"/>
        <v>2105</v>
      </c>
      <c r="B96">
        <f t="shared" si="13"/>
        <v>132</v>
      </c>
      <c r="C96" s="4">
        <f t="shared" si="14"/>
        <v>0</v>
      </c>
      <c r="D96">
        <f>VLOOKUP(B96, Mort!$A$2:$E$111, IF($C$6="M",4,5))</f>
        <v>1</v>
      </c>
      <c r="E96" s="6">
        <f>ROUND(IF(B96 &lt; 65, Assumptions!$C$6, Assumptions!$C$7) * (1+Assumptions!$C$8) ^ (B96 - $C$7), 2)</f>
        <v>419421.32</v>
      </c>
      <c r="F96" s="6">
        <f t="shared" si="10"/>
        <v>0</v>
      </c>
      <c r="G96" s="4">
        <f xml:space="preserve"> (1+Assumptions!$C$9) ^ - (B96 - $C$7)</f>
        <v>4.0460160192972112E-2</v>
      </c>
      <c r="H96" s="6">
        <f t="shared" si="11"/>
        <v>0</v>
      </c>
    </row>
    <row r="97" spans="1:8" x14ac:dyDescent="0.25">
      <c r="A97">
        <f t="shared" si="12"/>
        <v>2106</v>
      </c>
      <c r="B97">
        <f t="shared" si="13"/>
        <v>133</v>
      </c>
      <c r="C97" s="4">
        <f t="shared" si="14"/>
        <v>0</v>
      </c>
      <c r="D97">
        <f>VLOOKUP(B97, Mort!$A$2:$E$111, IF($C$6="M",4,5))</f>
        <v>1</v>
      </c>
      <c r="E97" s="6">
        <f>ROUND(IF(B97 &lt; 65, Assumptions!$C$6, Assumptions!$C$7) * (1+Assumptions!$C$8) ^ (B97 - $C$7), 2)</f>
        <v>442489.49</v>
      </c>
      <c r="F97" s="6">
        <f t="shared" si="10"/>
        <v>0</v>
      </c>
      <c r="G97" s="4">
        <f xml:space="preserve"> (1+Assumptions!$C$9) ^ - (B97 - $C$7)</f>
        <v>3.8978959723479874E-2</v>
      </c>
      <c r="H97" s="6">
        <f t="shared" si="11"/>
        <v>0</v>
      </c>
    </row>
    <row r="98" spans="1:8" x14ac:dyDescent="0.25">
      <c r="A98">
        <f t="shared" si="12"/>
        <v>2107</v>
      </c>
      <c r="B98">
        <f t="shared" si="13"/>
        <v>134</v>
      </c>
      <c r="C98" s="4">
        <f t="shared" si="14"/>
        <v>0</v>
      </c>
      <c r="D98">
        <f>VLOOKUP(B98, Mort!$A$2:$E$111, IF($C$6="M",4,5))</f>
        <v>1</v>
      </c>
      <c r="E98" s="6">
        <f>ROUND(IF(B98 &lt; 65, Assumptions!$C$6, Assumptions!$C$7) * (1+Assumptions!$C$8) ^ (B98 - $C$7), 2)</f>
        <v>466826.41</v>
      </c>
      <c r="F98" s="6">
        <f t="shared" si="10"/>
        <v>0</v>
      </c>
      <c r="G98" s="4">
        <f xml:space="preserve"> (1+Assumptions!$C$9) ^ - (B98 - $C$7)</f>
        <v>3.7551984319344769E-2</v>
      </c>
      <c r="H98" s="6">
        <f t="shared" si="11"/>
        <v>0</v>
      </c>
    </row>
    <row r="99" spans="1:8" x14ac:dyDescent="0.25">
      <c r="A99">
        <f t="shared" si="12"/>
        <v>2108</v>
      </c>
      <c r="B99">
        <f t="shared" si="13"/>
        <v>135</v>
      </c>
      <c r="C99" s="4">
        <f t="shared" si="14"/>
        <v>0</v>
      </c>
      <c r="D99">
        <f>VLOOKUP(B99, Mort!$A$2:$E$111, IF($C$6="M",4,5))</f>
        <v>1</v>
      </c>
      <c r="E99" s="6">
        <f>ROUND(IF(B99 &lt; 65, Assumptions!$C$6, Assumptions!$C$7) * (1+Assumptions!$C$8) ^ (B99 - $C$7), 2)</f>
        <v>492501.86</v>
      </c>
      <c r="F99" s="6">
        <f t="shared" si="10"/>
        <v>0</v>
      </c>
      <c r="G99" s="4">
        <f xml:space="preserve"> (1+Assumptions!$C$9) ^ - (B99 - $C$7)</f>
        <v>3.6177248862567214E-2</v>
      </c>
      <c r="H99" s="6">
        <f t="shared" si="11"/>
        <v>0</v>
      </c>
    </row>
    <row r="100" spans="1:8" x14ac:dyDescent="0.25">
      <c r="A100">
        <f t="shared" si="12"/>
        <v>2109</v>
      </c>
      <c r="B100">
        <f t="shared" si="13"/>
        <v>136</v>
      </c>
      <c r="C100" s="4">
        <f t="shared" si="14"/>
        <v>0</v>
      </c>
      <c r="D100">
        <f>VLOOKUP(B100, Mort!$A$2:$E$111, IF($C$6="M",4,5))</f>
        <v>1</v>
      </c>
      <c r="E100" s="6">
        <f>ROUND(IF(B100 &lt; 65, Assumptions!$C$6, Assumptions!$C$7) * (1+Assumptions!$C$8) ^ (B100 - $C$7), 2)</f>
        <v>519589.46</v>
      </c>
      <c r="F100" s="6">
        <f t="shared" si="10"/>
        <v>0</v>
      </c>
      <c r="G100" s="4">
        <f xml:space="preserve"> (1+Assumptions!$C$9) ^ - (B100 - $C$7)</f>
        <v>3.48528409080609E-2</v>
      </c>
      <c r="H100" s="6">
        <f t="shared" si="11"/>
        <v>0</v>
      </c>
    </row>
    <row r="101" spans="1:8" x14ac:dyDescent="0.25">
      <c r="A101">
        <f t="shared" si="12"/>
        <v>2110</v>
      </c>
      <c r="B101">
        <f t="shared" si="13"/>
        <v>137</v>
      </c>
      <c r="C101" s="4">
        <f t="shared" si="14"/>
        <v>0</v>
      </c>
      <c r="D101">
        <f>VLOOKUP(B101, Mort!$A$2:$E$111, IF($C$6="M",4,5))</f>
        <v>1</v>
      </c>
      <c r="E101" s="6">
        <f>ROUND(IF(B101 &lt; 65, Assumptions!$C$6, Assumptions!$C$7) * (1+Assumptions!$C$8) ^ (B101 - $C$7), 2)</f>
        <v>548166.88</v>
      </c>
      <c r="F101" s="6">
        <f t="shared" si="10"/>
        <v>0</v>
      </c>
      <c r="G101" s="4">
        <f xml:space="preserve"> (1+Assumptions!$C$9) ^ - (B101 - $C$7)</f>
        <v>3.3576918023180052E-2</v>
      </c>
      <c r="H101" s="6">
        <f t="shared" si="11"/>
        <v>0</v>
      </c>
    </row>
    <row r="102" spans="1:8" x14ac:dyDescent="0.25">
      <c r="A102">
        <f t="shared" si="12"/>
        <v>2111</v>
      </c>
      <c r="B102">
        <f t="shared" si="13"/>
        <v>138</v>
      </c>
      <c r="C102" s="4">
        <f t="shared" si="14"/>
        <v>0</v>
      </c>
      <c r="D102">
        <f>VLOOKUP(B102, Mort!$A$2:$E$111, IF($C$6="M",4,5))</f>
        <v>1</v>
      </c>
      <c r="E102" s="6">
        <f>ROUND(IF(B102 &lt; 65, Assumptions!$C$6, Assumptions!$C$7) * (1+Assumptions!$C$8) ^ (B102 - $C$7), 2)</f>
        <v>578316.06000000006</v>
      </c>
      <c r="F102" s="6">
        <f t="shared" si="10"/>
        <v>0</v>
      </c>
      <c r="G102" s="4">
        <f xml:space="preserve"> (1+Assumptions!$C$9) ^ - (B102 - $C$7)</f>
        <v>3.23477052246436E-2</v>
      </c>
      <c r="H102" s="6">
        <f t="shared" si="11"/>
        <v>0</v>
      </c>
    </row>
    <row r="103" spans="1:8" x14ac:dyDescent="0.25">
      <c r="A103">
        <f t="shared" si="12"/>
        <v>2112</v>
      </c>
      <c r="B103">
        <f t="shared" si="13"/>
        <v>139</v>
      </c>
      <c r="C103" s="4">
        <f t="shared" si="14"/>
        <v>0</v>
      </c>
      <c r="D103">
        <f>VLOOKUP(B103, Mort!$A$2:$E$111, IF($C$6="M",4,5))</f>
        <v>1</v>
      </c>
      <c r="E103" s="6">
        <f>ROUND(IF(B103 &lt; 65, Assumptions!$C$6, Assumptions!$C$7) * (1+Assumptions!$C$8) ^ (B103 - $C$7), 2)</f>
        <v>610123.44999999995</v>
      </c>
      <c r="F103" s="6">
        <f t="shared" si="10"/>
        <v>0</v>
      </c>
      <c r="G103" s="4">
        <f xml:space="preserve"> (1+Assumptions!$C$9) ^ - (B103 - $C$7)</f>
        <v>3.1163492509290559E-2</v>
      </c>
      <c r="H103" s="6">
        <f t="shared" si="11"/>
        <v>0</v>
      </c>
    </row>
    <row r="104" spans="1:8" x14ac:dyDescent="0.25">
      <c r="A104">
        <f t="shared" si="12"/>
        <v>2113</v>
      </c>
      <c r="B104">
        <f t="shared" si="13"/>
        <v>140</v>
      </c>
      <c r="C104" s="4">
        <f t="shared" si="14"/>
        <v>0</v>
      </c>
      <c r="D104">
        <f>VLOOKUP(B104, Mort!$A$2:$E$111, IF($C$6="M",4,5))</f>
        <v>1</v>
      </c>
      <c r="E104" s="6">
        <f>ROUND(IF(B104 &lt; 65, Assumptions!$C$6, Assumptions!$C$7) * (1+Assumptions!$C$8) ^ (B104 - $C$7), 2)</f>
        <v>643680.24</v>
      </c>
      <c r="F104" s="6">
        <f t="shared" si="10"/>
        <v>0</v>
      </c>
      <c r="G104" s="4">
        <f xml:space="preserve"> (1+Assumptions!$C$9) ^ - (B104 - $C$7)</f>
        <v>3.0022632475231754E-2</v>
      </c>
      <c r="H104" s="6">
        <f t="shared" si="11"/>
        <v>0</v>
      </c>
    </row>
    <row r="105" spans="1:8" x14ac:dyDescent="0.25">
      <c r="A105">
        <f t="shared" si="12"/>
        <v>2114</v>
      </c>
      <c r="B105">
        <f t="shared" si="13"/>
        <v>141</v>
      </c>
      <c r="C105" s="4">
        <f t="shared" si="14"/>
        <v>0</v>
      </c>
      <c r="D105">
        <f>VLOOKUP(B105, Mort!$A$2:$E$111, IF($C$6="M",4,5))</f>
        <v>1</v>
      </c>
      <c r="E105" s="6">
        <f>ROUND(IF(B105 &lt; 65, Assumptions!$C$6, Assumptions!$C$7) * (1+Assumptions!$C$8) ^ (B105 - $C$7), 2)</f>
        <v>679082.65</v>
      </c>
      <c r="F105" s="6">
        <f t="shared" si="10"/>
        <v>0</v>
      </c>
      <c r="G105" s="4">
        <f xml:space="preserve"> (1+Assumptions!$C$9) ^ - (B105 - $C$7)</f>
        <v>2.8923538030088385E-2</v>
      </c>
      <c r="H105" s="6">
        <f t="shared" si="11"/>
        <v>0</v>
      </c>
    </row>
    <row r="106" spans="1:8" x14ac:dyDescent="0.25">
      <c r="A106">
        <f t="shared" si="12"/>
        <v>2115</v>
      </c>
      <c r="B106">
        <f t="shared" si="13"/>
        <v>142</v>
      </c>
      <c r="C106" s="4">
        <f t="shared" si="14"/>
        <v>0</v>
      </c>
      <c r="D106">
        <f>VLOOKUP(B106, Mort!$A$2:$E$111, IF($C$6="M",4,5))</f>
        <v>1</v>
      </c>
      <c r="E106" s="6">
        <f>ROUND(IF(B106 &lt; 65, Assumptions!$C$6, Assumptions!$C$7) * (1+Assumptions!$C$8) ^ (B106 - $C$7), 2)</f>
        <v>716432.2</v>
      </c>
      <c r="F106" s="6">
        <f t="shared" si="10"/>
        <v>0</v>
      </c>
      <c r="G106" s="4">
        <f xml:space="preserve"> (1+Assumptions!$C$9) ^ - (B106 - $C$7)</f>
        <v>2.7864680183129466E-2</v>
      </c>
      <c r="H106" s="6">
        <f t="shared" si="11"/>
        <v>0</v>
      </c>
    </row>
    <row r="107" spans="1:8" x14ac:dyDescent="0.25">
      <c r="A107">
        <f t="shared" si="12"/>
        <v>2116</v>
      </c>
      <c r="B107">
        <f t="shared" si="13"/>
        <v>143</v>
      </c>
      <c r="C107" s="4">
        <f t="shared" si="14"/>
        <v>0</v>
      </c>
      <c r="D107">
        <f>VLOOKUP(B107, Mort!$A$2:$E$111, IF($C$6="M",4,5))</f>
        <v>1</v>
      </c>
      <c r="E107" s="6">
        <f>ROUND(IF(B107 &lt; 65, Assumptions!$C$6, Assumptions!$C$7) * (1+Assumptions!$C$8) ^ (B107 - $C$7), 2)</f>
        <v>755835.97</v>
      </c>
      <c r="F107" s="6">
        <f t="shared" si="10"/>
        <v>0</v>
      </c>
      <c r="G107" s="4">
        <f xml:space="preserve"> (1+Assumptions!$C$9) ^ - (B107 - $C$7)</f>
        <v>2.6844585918236481E-2</v>
      </c>
      <c r="H107" s="6">
        <f t="shared" si="11"/>
        <v>0</v>
      </c>
    </row>
    <row r="108" spans="1:8" x14ac:dyDescent="0.25">
      <c r="A108">
        <f t="shared" si="12"/>
        <v>2117</v>
      </c>
      <c r="B108">
        <f t="shared" si="13"/>
        <v>144</v>
      </c>
      <c r="C108" s="4">
        <f t="shared" si="14"/>
        <v>0</v>
      </c>
      <c r="D108">
        <f>VLOOKUP(B108, Mort!$A$2:$E$111, IF($C$6="M",4,5))</f>
        <v>1</v>
      </c>
      <c r="E108" s="6">
        <f>ROUND(IF(B108 &lt; 65, Assumptions!$C$6, Assumptions!$C$7) * (1+Assumptions!$C$8) ^ (B108 - $C$7), 2)</f>
        <v>797406.94</v>
      </c>
      <c r="F108" s="6">
        <f t="shared" si="10"/>
        <v>0</v>
      </c>
      <c r="G108" s="4">
        <f xml:space="preserve"> (1+Assumptions!$C$9) ^ - (B108 - $C$7)</f>
        <v>2.5861836144736493E-2</v>
      </c>
      <c r="H108" s="6">
        <f t="shared" si="11"/>
        <v>0</v>
      </c>
    </row>
    <row r="109" spans="1:8" x14ac:dyDescent="0.25">
      <c r="A109">
        <f t="shared" si="12"/>
        <v>2118</v>
      </c>
      <c r="B109">
        <f t="shared" si="13"/>
        <v>145</v>
      </c>
      <c r="C109" s="4">
        <f t="shared" si="14"/>
        <v>0</v>
      </c>
      <c r="D109">
        <f>VLOOKUP(B109, Mort!$A$2:$E$111, IF($C$6="M",4,5))</f>
        <v>1</v>
      </c>
      <c r="E109" s="6">
        <f>ROUND(IF(B109 &lt; 65, Assumptions!$C$6, Assumptions!$C$7) * (1+Assumptions!$C$8) ^ (B109 - $C$7), 2)</f>
        <v>841264.33</v>
      </c>
      <c r="F109" s="6">
        <f t="shared" si="10"/>
        <v>0</v>
      </c>
      <c r="G109" s="4">
        <f xml:space="preserve"> (1+Assumptions!$C$9) ^ - (B109 - $C$7)</f>
        <v>2.4915063723252879E-2</v>
      </c>
      <c r="H109" s="6">
        <f t="shared" si="11"/>
        <v>0</v>
      </c>
    </row>
    <row r="110" spans="1:8" x14ac:dyDescent="0.25">
      <c r="A110">
        <f t="shared" si="12"/>
        <v>2119</v>
      </c>
      <c r="B110">
        <f t="shared" si="13"/>
        <v>146</v>
      </c>
      <c r="C110" s="4">
        <f t="shared" si="14"/>
        <v>0</v>
      </c>
      <c r="D110">
        <f>VLOOKUP(B110, Mort!$A$2:$E$111, IF($C$6="M",4,5))</f>
        <v>1</v>
      </c>
      <c r="E110" s="6">
        <f>ROUND(IF(B110 &lt; 65, Assumptions!$C$6, Assumptions!$C$7) * (1+Assumptions!$C$8) ^ (B110 - $C$7), 2)</f>
        <v>887533.86</v>
      </c>
      <c r="F110" s="6">
        <f t="shared" ref="F110:F113" si="15">ROUND(C110*E110, 2)</f>
        <v>0</v>
      </c>
      <c r="G110" s="4">
        <f xml:space="preserve"> (1+Assumptions!$C$9) ^ - (B110 - $C$7)</f>
        <v>2.4002951563827438E-2</v>
      </c>
      <c r="H110" s="6">
        <f t="shared" ref="H110:H113" si="16">ROUND(F110*G110, 2)</f>
        <v>0</v>
      </c>
    </row>
    <row r="111" spans="1:8" x14ac:dyDescent="0.25">
      <c r="A111">
        <f t="shared" si="12"/>
        <v>2120</v>
      </c>
      <c r="B111">
        <f t="shared" si="13"/>
        <v>147</v>
      </c>
      <c r="C111" s="4">
        <f t="shared" si="14"/>
        <v>0</v>
      </c>
      <c r="D111">
        <f>VLOOKUP(B111, Mort!$A$2:$E$111, IF($C$6="M",4,5))</f>
        <v>1</v>
      </c>
      <c r="E111" s="6">
        <f>ROUND(IF(B111 &lt; 65, Assumptions!$C$6, Assumptions!$C$7) * (1+Assumptions!$C$8) ^ (B111 - $C$7), 2)</f>
        <v>936348.23</v>
      </c>
      <c r="F111" s="6">
        <f t="shared" si="15"/>
        <v>0</v>
      </c>
      <c r="G111" s="4">
        <f xml:space="preserve"> (1+Assumptions!$C$9) ^ - (B111 - $C$7)</f>
        <v>2.3124230793668047E-2</v>
      </c>
      <c r="H111" s="6">
        <f t="shared" si="16"/>
        <v>0</v>
      </c>
    </row>
    <row r="112" spans="1:8" x14ac:dyDescent="0.25">
      <c r="A112">
        <f t="shared" si="12"/>
        <v>2121</v>
      </c>
      <c r="B112">
        <f t="shared" si="13"/>
        <v>148</v>
      </c>
      <c r="C112" s="4">
        <f t="shared" si="14"/>
        <v>0</v>
      </c>
      <c r="D112">
        <f>VLOOKUP(B112, Mort!$A$2:$E$111, IF($C$6="M",4,5))</f>
        <v>1</v>
      </c>
      <c r="E112" s="6">
        <f>ROUND(IF(B112 &lt; 65, Assumptions!$C$6, Assumptions!$C$7) * (1+Assumptions!$C$8) ^ (B112 - $C$7), 2)</f>
        <v>987847.38</v>
      </c>
      <c r="F112" s="6">
        <f t="shared" si="15"/>
        <v>0</v>
      </c>
      <c r="G112" s="4">
        <f xml:space="preserve"> (1+Assumptions!$C$9) ^ - (B112 - $C$7)</f>
        <v>2.2277678991973072E-2</v>
      </c>
      <c r="H112" s="6">
        <f t="shared" si="16"/>
        <v>0</v>
      </c>
    </row>
    <row r="113" spans="1:8" x14ac:dyDescent="0.25">
      <c r="A113">
        <f t="shared" si="12"/>
        <v>2122</v>
      </c>
      <c r="B113">
        <f t="shared" si="13"/>
        <v>149</v>
      </c>
      <c r="C113" s="4">
        <f t="shared" si="14"/>
        <v>0</v>
      </c>
      <c r="D113">
        <f>VLOOKUP(B113, Mort!$A$2:$E$111, IF($C$6="M",4,5))</f>
        <v>1</v>
      </c>
      <c r="E113" s="6">
        <f>ROUND(IF(B113 &lt; 65, Assumptions!$C$6, Assumptions!$C$7) * (1+Assumptions!$C$8) ^ (B113 - $C$7), 2)</f>
        <v>1042178.98</v>
      </c>
      <c r="F113" s="6">
        <f t="shared" si="15"/>
        <v>0</v>
      </c>
      <c r="G113" s="4">
        <f xml:space="preserve"> (1+Assumptions!$C$9) ^ - (B113 - $C$7)</f>
        <v>2.1462118489376757E-2</v>
      </c>
      <c r="H113" s="6">
        <f t="shared" si="16"/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37420-45BB-4391-AA93-E8F6F6657578}">
  <sheetPr codeName="Sheet3"/>
  <dimension ref="B2:FM112"/>
  <sheetViews>
    <sheetView workbookViewId="0"/>
  </sheetViews>
  <sheetFormatPr defaultRowHeight="15" x14ac:dyDescent="0.25"/>
  <cols>
    <col min="2" max="2" width="10.85546875" bestFit="1" customWidth="1"/>
    <col min="3" max="3" width="10.85546875" customWidth="1"/>
    <col min="4" max="4" width="8" customWidth="1"/>
    <col min="5" max="5" width="11.28515625" bestFit="1" customWidth="1"/>
    <col min="6" max="6" width="11.140625" bestFit="1" customWidth="1"/>
    <col min="9" max="9" width="12" bestFit="1" customWidth="1"/>
    <col min="11" max="12" width="11.85546875" bestFit="1" customWidth="1"/>
    <col min="13" max="14" width="11.140625" customWidth="1"/>
    <col min="15" max="16" width="10.28515625" bestFit="1" customWidth="1"/>
    <col min="17" max="17" width="11" bestFit="1" customWidth="1"/>
    <col min="18" max="70" width="10.28515625" bestFit="1" customWidth="1"/>
    <col min="71" max="71" width="10.140625" bestFit="1" customWidth="1"/>
    <col min="72" max="114" width="9.42578125" bestFit="1" customWidth="1"/>
    <col min="115" max="115" width="9.28515625" bestFit="1" customWidth="1"/>
    <col min="118" max="165" width="9.28515625" bestFit="1" customWidth="1"/>
    <col min="169" max="169" width="9.28515625" bestFit="1" customWidth="1"/>
  </cols>
  <sheetData>
    <row r="2" spans="2:169" x14ac:dyDescent="0.25">
      <c r="B2" s="2" t="s">
        <v>54</v>
      </c>
      <c r="K2" t="s">
        <v>80</v>
      </c>
    </row>
    <row r="3" spans="2:169" x14ac:dyDescent="0.25">
      <c r="B3" t="s">
        <v>65</v>
      </c>
      <c r="K3" t="s">
        <v>177</v>
      </c>
    </row>
    <row r="5" spans="2:169" x14ac:dyDescent="0.25">
      <c r="B5" t="s">
        <v>3</v>
      </c>
      <c r="C5">
        <f>'One ret age'!C4</f>
        <v>1</v>
      </c>
      <c r="J5" s="8"/>
      <c r="K5" s="8" t="s">
        <v>24</v>
      </c>
      <c r="L5" t="s">
        <v>25</v>
      </c>
      <c r="M5" s="8"/>
    </row>
    <row r="6" spans="2:169" x14ac:dyDescent="0.25">
      <c r="B6" t="s">
        <v>42</v>
      </c>
      <c r="C6">
        <f>Assumptions!C4</f>
        <v>50</v>
      </c>
      <c r="J6" s="22" t="s">
        <v>26</v>
      </c>
      <c r="K6" s="19">
        <f>'EAN calculation'!J7</f>
        <v>50629.630709477744</v>
      </c>
      <c r="L6" s="16">
        <f>IF(D13 = FALSE, L10*C13, K10)</f>
        <v>111454.1</v>
      </c>
      <c r="N6" s="8"/>
    </row>
    <row r="7" spans="2:169" x14ac:dyDescent="0.25">
      <c r="B7" t="s">
        <v>43</v>
      </c>
      <c r="C7">
        <f>Assumptions!C5</f>
        <v>5</v>
      </c>
      <c r="J7" s="22" t="s">
        <v>27</v>
      </c>
      <c r="K7" s="19">
        <f>'EAN calculation'!J8</f>
        <v>7735.4237471464585</v>
      </c>
    </row>
    <row r="8" spans="2:169" x14ac:dyDescent="0.25">
      <c r="O8" t="s">
        <v>70</v>
      </c>
    </row>
    <row r="9" spans="2:169" x14ac:dyDescent="0.25">
      <c r="C9" s="2"/>
      <c r="H9" t="s">
        <v>179</v>
      </c>
      <c r="I9" s="23">
        <f>(SUMPRODUCT(B13:B63,I13:I63)/SUM(I13:I63)-B13)</f>
        <v>15.293320786918535</v>
      </c>
      <c r="K9" t="s">
        <v>21</v>
      </c>
      <c r="L9" s="12" t="s">
        <v>67</v>
      </c>
      <c r="N9" s="12"/>
      <c r="O9">
        <f>Assumptions!C3</f>
        <v>2019</v>
      </c>
      <c r="P9">
        <f t="shared" ref="P9:AU9" si="0">O9+1</f>
        <v>2020</v>
      </c>
      <c r="Q9">
        <f t="shared" si="0"/>
        <v>2021</v>
      </c>
      <c r="R9">
        <f t="shared" si="0"/>
        <v>2022</v>
      </c>
      <c r="S9">
        <f t="shared" si="0"/>
        <v>2023</v>
      </c>
      <c r="T9">
        <f t="shared" si="0"/>
        <v>2024</v>
      </c>
      <c r="U9">
        <f t="shared" si="0"/>
        <v>2025</v>
      </c>
      <c r="V9">
        <f t="shared" si="0"/>
        <v>2026</v>
      </c>
      <c r="W9">
        <f t="shared" si="0"/>
        <v>2027</v>
      </c>
      <c r="X9">
        <f t="shared" si="0"/>
        <v>2028</v>
      </c>
      <c r="Y9">
        <f t="shared" si="0"/>
        <v>2029</v>
      </c>
      <c r="Z9">
        <f t="shared" si="0"/>
        <v>2030</v>
      </c>
      <c r="AA9">
        <f t="shared" si="0"/>
        <v>2031</v>
      </c>
      <c r="AB9">
        <f t="shared" si="0"/>
        <v>2032</v>
      </c>
      <c r="AC9">
        <f t="shared" si="0"/>
        <v>2033</v>
      </c>
      <c r="AD9">
        <f t="shared" si="0"/>
        <v>2034</v>
      </c>
      <c r="AE9">
        <f t="shared" si="0"/>
        <v>2035</v>
      </c>
      <c r="AF9">
        <f t="shared" si="0"/>
        <v>2036</v>
      </c>
      <c r="AG9">
        <f t="shared" si="0"/>
        <v>2037</v>
      </c>
      <c r="AH9">
        <f t="shared" si="0"/>
        <v>2038</v>
      </c>
      <c r="AI9">
        <f t="shared" si="0"/>
        <v>2039</v>
      </c>
      <c r="AJ9">
        <f t="shared" si="0"/>
        <v>2040</v>
      </c>
      <c r="AK9">
        <f t="shared" si="0"/>
        <v>2041</v>
      </c>
      <c r="AL9">
        <f t="shared" si="0"/>
        <v>2042</v>
      </c>
      <c r="AM9">
        <f t="shared" si="0"/>
        <v>2043</v>
      </c>
      <c r="AN9">
        <f t="shared" si="0"/>
        <v>2044</v>
      </c>
      <c r="AO9">
        <f t="shared" si="0"/>
        <v>2045</v>
      </c>
      <c r="AP9">
        <f t="shared" si="0"/>
        <v>2046</v>
      </c>
      <c r="AQ9">
        <f t="shared" si="0"/>
        <v>2047</v>
      </c>
      <c r="AR9">
        <f t="shared" si="0"/>
        <v>2048</v>
      </c>
      <c r="AS9">
        <f t="shared" si="0"/>
        <v>2049</v>
      </c>
      <c r="AT9">
        <f t="shared" si="0"/>
        <v>2050</v>
      </c>
      <c r="AU9">
        <f t="shared" si="0"/>
        <v>2051</v>
      </c>
      <c r="AV9">
        <f t="shared" ref="AV9:CA9" si="1">AU9+1</f>
        <v>2052</v>
      </c>
      <c r="AW9">
        <f t="shared" si="1"/>
        <v>2053</v>
      </c>
      <c r="AX9">
        <f t="shared" si="1"/>
        <v>2054</v>
      </c>
      <c r="AY9">
        <f t="shared" si="1"/>
        <v>2055</v>
      </c>
      <c r="AZ9">
        <f t="shared" si="1"/>
        <v>2056</v>
      </c>
      <c r="BA9">
        <f t="shared" si="1"/>
        <v>2057</v>
      </c>
      <c r="BB9">
        <f t="shared" si="1"/>
        <v>2058</v>
      </c>
      <c r="BC9">
        <f t="shared" si="1"/>
        <v>2059</v>
      </c>
      <c r="BD9">
        <f t="shared" si="1"/>
        <v>2060</v>
      </c>
      <c r="BE9">
        <f t="shared" si="1"/>
        <v>2061</v>
      </c>
      <c r="BF9">
        <f t="shared" si="1"/>
        <v>2062</v>
      </c>
      <c r="BG9">
        <f t="shared" si="1"/>
        <v>2063</v>
      </c>
      <c r="BH9">
        <f t="shared" si="1"/>
        <v>2064</v>
      </c>
      <c r="BI9">
        <f t="shared" si="1"/>
        <v>2065</v>
      </c>
      <c r="BJ9">
        <f t="shared" si="1"/>
        <v>2066</v>
      </c>
      <c r="BK9">
        <f t="shared" si="1"/>
        <v>2067</v>
      </c>
      <c r="BL9">
        <f t="shared" si="1"/>
        <v>2068</v>
      </c>
      <c r="BM9">
        <f t="shared" si="1"/>
        <v>2069</v>
      </c>
      <c r="BN9">
        <f t="shared" si="1"/>
        <v>2070</v>
      </c>
      <c r="BO9">
        <f t="shared" si="1"/>
        <v>2071</v>
      </c>
      <c r="BP9">
        <f t="shared" si="1"/>
        <v>2072</v>
      </c>
      <c r="BQ9">
        <f t="shared" si="1"/>
        <v>2073</v>
      </c>
      <c r="BR9">
        <f t="shared" si="1"/>
        <v>2074</v>
      </c>
      <c r="BS9">
        <f t="shared" si="1"/>
        <v>2075</v>
      </c>
      <c r="BT9">
        <f t="shared" si="1"/>
        <v>2076</v>
      </c>
      <c r="BU9">
        <f t="shared" si="1"/>
        <v>2077</v>
      </c>
      <c r="BV9">
        <f t="shared" si="1"/>
        <v>2078</v>
      </c>
      <c r="BW9">
        <f t="shared" si="1"/>
        <v>2079</v>
      </c>
      <c r="BX9">
        <f t="shared" si="1"/>
        <v>2080</v>
      </c>
      <c r="BY9">
        <f t="shared" si="1"/>
        <v>2081</v>
      </c>
      <c r="BZ9">
        <f t="shared" si="1"/>
        <v>2082</v>
      </c>
      <c r="CA9">
        <f t="shared" si="1"/>
        <v>2083</v>
      </c>
      <c r="CB9">
        <f t="shared" ref="CB9:DJ9" si="2">CA9+1</f>
        <v>2084</v>
      </c>
      <c r="CC9">
        <f t="shared" si="2"/>
        <v>2085</v>
      </c>
      <c r="CD9">
        <f t="shared" si="2"/>
        <v>2086</v>
      </c>
      <c r="CE9">
        <f t="shared" si="2"/>
        <v>2087</v>
      </c>
      <c r="CF9">
        <f t="shared" si="2"/>
        <v>2088</v>
      </c>
      <c r="CG9">
        <f t="shared" si="2"/>
        <v>2089</v>
      </c>
      <c r="CH9">
        <f t="shared" si="2"/>
        <v>2090</v>
      </c>
      <c r="CI9">
        <f t="shared" si="2"/>
        <v>2091</v>
      </c>
      <c r="CJ9">
        <f t="shared" si="2"/>
        <v>2092</v>
      </c>
      <c r="CK9">
        <f t="shared" si="2"/>
        <v>2093</v>
      </c>
      <c r="CL9">
        <f t="shared" si="2"/>
        <v>2094</v>
      </c>
      <c r="CM9">
        <f t="shared" si="2"/>
        <v>2095</v>
      </c>
      <c r="CN9">
        <f t="shared" si="2"/>
        <v>2096</v>
      </c>
      <c r="CO9">
        <f t="shared" si="2"/>
        <v>2097</v>
      </c>
      <c r="CP9">
        <f t="shared" si="2"/>
        <v>2098</v>
      </c>
      <c r="CQ9">
        <f t="shared" si="2"/>
        <v>2099</v>
      </c>
      <c r="CR9">
        <f t="shared" si="2"/>
        <v>2100</v>
      </c>
      <c r="CS9">
        <f t="shared" si="2"/>
        <v>2101</v>
      </c>
      <c r="CT9">
        <f t="shared" si="2"/>
        <v>2102</v>
      </c>
      <c r="CU9">
        <f t="shared" si="2"/>
        <v>2103</v>
      </c>
      <c r="CV9">
        <f t="shared" si="2"/>
        <v>2104</v>
      </c>
      <c r="CW9">
        <f t="shared" si="2"/>
        <v>2105</v>
      </c>
      <c r="CX9">
        <f t="shared" si="2"/>
        <v>2106</v>
      </c>
      <c r="CY9">
        <f t="shared" si="2"/>
        <v>2107</v>
      </c>
      <c r="CZ9">
        <f t="shared" si="2"/>
        <v>2108</v>
      </c>
      <c r="DA9">
        <f t="shared" si="2"/>
        <v>2109</v>
      </c>
      <c r="DB9">
        <f t="shared" si="2"/>
        <v>2110</v>
      </c>
      <c r="DC9">
        <f t="shared" si="2"/>
        <v>2111</v>
      </c>
      <c r="DD9">
        <f t="shared" si="2"/>
        <v>2112</v>
      </c>
      <c r="DE9">
        <f t="shared" si="2"/>
        <v>2113</v>
      </c>
      <c r="DF9">
        <f t="shared" si="2"/>
        <v>2114</v>
      </c>
      <c r="DG9">
        <f t="shared" si="2"/>
        <v>2115</v>
      </c>
      <c r="DH9">
        <f t="shared" si="2"/>
        <v>2116</v>
      </c>
      <c r="DI9">
        <f t="shared" si="2"/>
        <v>2117</v>
      </c>
      <c r="DJ9">
        <f t="shared" si="2"/>
        <v>2118</v>
      </c>
    </row>
    <row r="10" spans="2:169" x14ac:dyDescent="0.25">
      <c r="J10" t="s">
        <v>61</v>
      </c>
      <c r="K10" s="16">
        <f>ROUND(SUMPRODUCT($I$13:$I$63, K13:K63), 2)</f>
        <v>156035.73000000001</v>
      </c>
      <c r="L10" s="16">
        <f>ROUND(SUMPRODUCT($I$13:$I$63, L13:L63), 2)</f>
        <v>11145.41</v>
      </c>
      <c r="N10" s="12"/>
      <c r="O10" s="16">
        <f t="shared" ref="O10:AT10" si="3">ROUND(SUMPRODUCT($I$13:$I$63, O13:O63), 2)</f>
        <v>0</v>
      </c>
      <c r="P10" s="16">
        <f t="shared" si="3"/>
        <v>0</v>
      </c>
      <c r="Q10" s="16">
        <f t="shared" si="3"/>
        <v>0</v>
      </c>
      <c r="R10" s="16">
        <f t="shared" si="3"/>
        <v>0</v>
      </c>
      <c r="S10" s="16">
        <f t="shared" si="3"/>
        <v>0</v>
      </c>
      <c r="T10" s="16">
        <f t="shared" si="3"/>
        <v>171.37</v>
      </c>
      <c r="U10" s="16">
        <f t="shared" si="3"/>
        <v>345.8</v>
      </c>
      <c r="V10" s="16">
        <f t="shared" si="3"/>
        <v>584.42999999999995</v>
      </c>
      <c r="W10" s="16">
        <f t="shared" si="3"/>
        <v>816.81</v>
      </c>
      <c r="X10" s="16">
        <f t="shared" si="3"/>
        <v>1173.23</v>
      </c>
      <c r="Y10" s="16">
        <f t="shared" si="3"/>
        <v>1758.72</v>
      </c>
      <c r="Z10" s="16">
        <f t="shared" si="3"/>
        <v>2296.25</v>
      </c>
      <c r="AA10" s="16">
        <f t="shared" si="3"/>
        <v>3020.94</v>
      </c>
      <c r="AB10" s="16">
        <f t="shared" si="3"/>
        <v>3895.72</v>
      </c>
      <c r="AC10" s="16">
        <f t="shared" si="3"/>
        <v>5005.2299999999996</v>
      </c>
      <c r="AD10" s="16">
        <f t="shared" si="3"/>
        <v>6809.06</v>
      </c>
      <c r="AE10" s="16">
        <f t="shared" si="3"/>
        <v>9037.64</v>
      </c>
      <c r="AF10" s="16">
        <f t="shared" si="3"/>
        <v>12381.13</v>
      </c>
      <c r="AG10" s="16">
        <f t="shared" si="3"/>
        <v>15387.59</v>
      </c>
      <c r="AH10" s="16">
        <f t="shared" si="3"/>
        <v>7364.14</v>
      </c>
      <c r="AI10" s="16">
        <f t="shared" si="3"/>
        <v>8472.84</v>
      </c>
      <c r="AJ10" s="16">
        <f t="shared" si="3"/>
        <v>9263.4599999999991</v>
      </c>
      <c r="AK10" s="16">
        <f t="shared" si="3"/>
        <v>10075.27</v>
      </c>
      <c r="AL10" s="16">
        <f t="shared" si="3"/>
        <v>10719.91</v>
      </c>
      <c r="AM10" s="16">
        <f t="shared" si="3"/>
        <v>11348.3</v>
      </c>
      <c r="AN10" s="16">
        <f t="shared" si="3"/>
        <v>11954.77</v>
      </c>
      <c r="AO10" s="16">
        <f t="shared" si="3"/>
        <v>12514.41</v>
      </c>
      <c r="AP10" s="16">
        <f t="shared" si="3"/>
        <v>13062</v>
      </c>
      <c r="AQ10" s="16">
        <f t="shared" si="3"/>
        <v>13575.55</v>
      </c>
      <c r="AR10" s="16">
        <f t="shared" si="3"/>
        <v>14076.62</v>
      </c>
      <c r="AS10" s="16">
        <f t="shared" si="3"/>
        <v>14650</v>
      </c>
      <c r="AT10" s="16">
        <f t="shared" si="3"/>
        <v>15078.78</v>
      </c>
      <c r="AU10" s="16">
        <f t="shared" ref="AU10:BZ10" si="4">ROUND(SUMPRODUCT($I$13:$I$63, AU13:AU63), 2)</f>
        <v>15474.46</v>
      </c>
      <c r="AV10" s="16">
        <f t="shared" si="4"/>
        <v>15825.34</v>
      </c>
      <c r="AW10" s="16">
        <f t="shared" si="4"/>
        <v>16118.23</v>
      </c>
      <c r="AX10" s="16">
        <f t="shared" si="4"/>
        <v>16341.72</v>
      </c>
      <c r="AY10" s="16">
        <f t="shared" si="4"/>
        <v>16481.759999999998</v>
      </c>
      <c r="AZ10" s="16">
        <f t="shared" si="4"/>
        <v>16524.580000000002</v>
      </c>
      <c r="BA10" s="16">
        <f t="shared" si="4"/>
        <v>16459.599999999999</v>
      </c>
      <c r="BB10" s="16">
        <f t="shared" si="4"/>
        <v>16280.27</v>
      </c>
      <c r="BC10" s="16">
        <f t="shared" si="4"/>
        <v>15978.71</v>
      </c>
      <c r="BD10" s="16">
        <f t="shared" si="4"/>
        <v>15548.05</v>
      </c>
      <c r="BE10" s="16">
        <f t="shared" si="4"/>
        <v>14954.46</v>
      </c>
      <c r="BF10" s="16">
        <f t="shared" si="4"/>
        <v>14191.21</v>
      </c>
      <c r="BG10" s="16">
        <f t="shared" si="4"/>
        <v>13260.76</v>
      </c>
      <c r="BH10" s="16">
        <f t="shared" si="4"/>
        <v>12175.03</v>
      </c>
      <c r="BI10" s="16">
        <f t="shared" si="4"/>
        <v>10959.83</v>
      </c>
      <c r="BJ10" s="16">
        <f t="shared" si="4"/>
        <v>9655.83</v>
      </c>
      <c r="BK10" s="16">
        <f t="shared" si="4"/>
        <v>8313.2199999999993</v>
      </c>
      <c r="BL10" s="16">
        <f t="shared" si="4"/>
        <v>6983.56</v>
      </c>
      <c r="BM10" s="16">
        <f t="shared" si="4"/>
        <v>5714.06</v>
      </c>
      <c r="BN10" s="16">
        <f t="shared" si="4"/>
        <v>4544.9399999999996</v>
      </c>
      <c r="BO10" s="16">
        <f t="shared" si="4"/>
        <v>3506.9</v>
      </c>
      <c r="BP10" s="16">
        <f t="shared" si="4"/>
        <v>2640.5</v>
      </c>
      <c r="BQ10" s="16">
        <f t="shared" si="4"/>
        <v>1921.82</v>
      </c>
      <c r="BR10" s="16">
        <f t="shared" si="4"/>
        <v>1367.84</v>
      </c>
      <c r="BS10" s="16">
        <f t="shared" si="4"/>
        <v>922.93</v>
      </c>
      <c r="BT10" s="16">
        <f t="shared" si="4"/>
        <v>586.98</v>
      </c>
      <c r="BU10" s="16">
        <f t="shared" si="4"/>
        <v>337.34</v>
      </c>
      <c r="BV10" s="16">
        <f t="shared" si="4"/>
        <v>170.58</v>
      </c>
      <c r="BW10" s="16">
        <f t="shared" si="4"/>
        <v>74.63</v>
      </c>
      <c r="BX10" s="16">
        <f t="shared" si="4"/>
        <v>27.97</v>
      </c>
      <c r="BY10" s="16">
        <f t="shared" si="4"/>
        <v>8.5500000000000007</v>
      </c>
      <c r="BZ10" s="16">
        <f t="shared" si="4"/>
        <v>1.96</v>
      </c>
      <c r="CA10" s="16">
        <f t="shared" ref="CA10:DJ10" si="5">ROUND(SUMPRODUCT($I$13:$I$63, CA13:CA63), 2)</f>
        <v>0.28999999999999998</v>
      </c>
      <c r="CB10" s="16">
        <f t="shared" si="5"/>
        <v>0</v>
      </c>
      <c r="CC10" s="16">
        <f t="shared" si="5"/>
        <v>0</v>
      </c>
      <c r="CD10" s="16">
        <f t="shared" si="5"/>
        <v>0</v>
      </c>
      <c r="CE10" s="16">
        <f t="shared" si="5"/>
        <v>0</v>
      </c>
      <c r="CF10" s="16">
        <f t="shared" si="5"/>
        <v>0</v>
      </c>
      <c r="CG10" s="16">
        <f t="shared" si="5"/>
        <v>0</v>
      </c>
      <c r="CH10" s="16">
        <f t="shared" si="5"/>
        <v>0</v>
      </c>
      <c r="CI10" s="16">
        <f t="shared" si="5"/>
        <v>0</v>
      </c>
      <c r="CJ10" s="16">
        <f t="shared" si="5"/>
        <v>0</v>
      </c>
      <c r="CK10" s="16">
        <f t="shared" si="5"/>
        <v>0</v>
      </c>
      <c r="CL10" s="16">
        <f t="shared" si="5"/>
        <v>0</v>
      </c>
      <c r="CM10" s="16">
        <f t="shared" si="5"/>
        <v>0</v>
      </c>
      <c r="CN10" s="16">
        <f t="shared" si="5"/>
        <v>0</v>
      </c>
      <c r="CO10" s="16">
        <f t="shared" si="5"/>
        <v>0</v>
      </c>
      <c r="CP10" s="16">
        <f t="shared" si="5"/>
        <v>0</v>
      </c>
      <c r="CQ10" s="16">
        <f t="shared" si="5"/>
        <v>0</v>
      </c>
      <c r="CR10" s="16">
        <f t="shared" si="5"/>
        <v>0</v>
      </c>
      <c r="CS10" s="16">
        <f t="shared" si="5"/>
        <v>0</v>
      </c>
      <c r="CT10" s="16">
        <f t="shared" si="5"/>
        <v>0</v>
      </c>
      <c r="CU10" s="16">
        <f t="shared" si="5"/>
        <v>0</v>
      </c>
      <c r="CV10" s="16">
        <f t="shared" si="5"/>
        <v>0</v>
      </c>
      <c r="CW10" s="16">
        <f t="shared" si="5"/>
        <v>0</v>
      </c>
      <c r="CX10" s="16">
        <f t="shared" si="5"/>
        <v>0</v>
      </c>
      <c r="CY10" s="16">
        <f t="shared" si="5"/>
        <v>0</v>
      </c>
      <c r="CZ10" s="16">
        <f t="shared" si="5"/>
        <v>0</v>
      </c>
      <c r="DA10" s="16">
        <f t="shared" si="5"/>
        <v>0</v>
      </c>
      <c r="DB10" s="16">
        <f t="shared" si="5"/>
        <v>0</v>
      </c>
      <c r="DC10" s="16">
        <f t="shared" si="5"/>
        <v>0</v>
      </c>
      <c r="DD10" s="16">
        <f t="shared" si="5"/>
        <v>0</v>
      </c>
      <c r="DE10" s="16">
        <f t="shared" si="5"/>
        <v>0</v>
      </c>
      <c r="DF10" s="16">
        <f t="shared" si="5"/>
        <v>0</v>
      </c>
      <c r="DG10" s="16">
        <f t="shared" si="5"/>
        <v>0</v>
      </c>
      <c r="DH10" s="16">
        <f t="shared" si="5"/>
        <v>0</v>
      </c>
      <c r="DI10" s="16">
        <f t="shared" si="5"/>
        <v>0</v>
      </c>
      <c r="DJ10" s="16">
        <f t="shared" si="5"/>
        <v>0</v>
      </c>
    </row>
    <row r="11" spans="2:169" x14ac:dyDescent="0.25">
      <c r="E11" t="s">
        <v>56</v>
      </c>
      <c r="L11" s="12"/>
      <c r="N11" s="12"/>
    </row>
    <row r="12" spans="2:169" x14ac:dyDescent="0.25">
      <c r="B12" t="s">
        <v>5</v>
      </c>
      <c r="C12" t="s">
        <v>6</v>
      </c>
      <c r="D12" t="s">
        <v>55</v>
      </c>
      <c r="E12" t="s">
        <v>52</v>
      </c>
      <c r="F12" t="s">
        <v>53</v>
      </c>
      <c r="G12" t="s">
        <v>47</v>
      </c>
      <c r="H12" t="s">
        <v>20</v>
      </c>
      <c r="I12" t="s">
        <v>44</v>
      </c>
      <c r="K12" t="s">
        <v>21</v>
      </c>
      <c r="L12" s="12"/>
      <c r="N12" s="12"/>
      <c r="O12">
        <f>O9</f>
        <v>2019</v>
      </c>
      <c r="P12">
        <f t="shared" ref="P12:AU12" si="6">O12+1</f>
        <v>2020</v>
      </c>
      <c r="Q12">
        <f t="shared" si="6"/>
        <v>2021</v>
      </c>
      <c r="R12">
        <f t="shared" si="6"/>
        <v>2022</v>
      </c>
      <c r="S12">
        <f t="shared" si="6"/>
        <v>2023</v>
      </c>
      <c r="T12">
        <f t="shared" si="6"/>
        <v>2024</v>
      </c>
      <c r="U12">
        <f t="shared" si="6"/>
        <v>2025</v>
      </c>
      <c r="V12">
        <f t="shared" si="6"/>
        <v>2026</v>
      </c>
      <c r="W12">
        <f t="shared" si="6"/>
        <v>2027</v>
      </c>
      <c r="X12">
        <f t="shared" si="6"/>
        <v>2028</v>
      </c>
      <c r="Y12">
        <f t="shared" si="6"/>
        <v>2029</v>
      </c>
      <c r="Z12">
        <f t="shared" si="6"/>
        <v>2030</v>
      </c>
      <c r="AA12">
        <f t="shared" si="6"/>
        <v>2031</v>
      </c>
      <c r="AB12">
        <f t="shared" si="6"/>
        <v>2032</v>
      </c>
      <c r="AC12">
        <f t="shared" si="6"/>
        <v>2033</v>
      </c>
      <c r="AD12">
        <f t="shared" si="6"/>
        <v>2034</v>
      </c>
      <c r="AE12">
        <f t="shared" si="6"/>
        <v>2035</v>
      </c>
      <c r="AF12">
        <f t="shared" si="6"/>
        <v>2036</v>
      </c>
      <c r="AG12">
        <f t="shared" si="6"/>
        <v>2037</v>
      </c>
      <c r="AH12">
        <f t="shared" si="6"/>
        <v>2038</v>
      </c>
      <c r="AI12">
        <f t="shared" si="6"/>
        <v>2039</v>
      </c>
      <c r="AJ12">
        <f t="shared" si="6"/>
        <v>2040</v>
      </c>
      <c r="AK12">
        <f t="shared" si="6"/>
        <v>2041</v>
      </c>
      <c r="AL12">
        <f t="shared" si="6"/>
        <v>2042</v>
      </c>
      <c r="AM12">
        <f t="shared" si="6"/>
        <v>2043</v>
      </c>
      <c r="AN12">
        <f t="shared" si="6"/>
        <v>2044</v>
      </c>
      <c r="AO12">
        <f t="shared" si="6"/>
        <v>2045</v>
      </c>
      <c r="AP12">
        <f t="shared" si="6"/>
        <v>2046</v>
      </c>
      <c r="AQ12">
        <f t="shared" si="6"/>
        <v>2047</v>
      </c>
      <c r="AR12">
        <f t="shared" si="6"/>
        <v>2048</v>
      </c>
      <c r="AS12">
        <f t="shared" si="6"/>
        <v>2049</v>
      </c>
      <c r="AT12">
        <f t="shared" si="6"/>
        <v>2050</v>
      </c>
      <c r="AU12">
        <f t="shared" si="6"/>
        <v>2051</v>
      </c>
      <c r="AV12">
        <f t="shared" ref="AV12:CA12" si="7">AU12+1</f>
        <v>2052</v>
      </c>
      <c r="AW12">
        <f t="shared" si="7"/>
        <v>2053</v>
      </c>
      <c r="AX12">
        <f t="shared" si="7"/>
        <v>2054</v>
      </c>
      <c r="AY12">
        <f t="shared" si="7"/>
        <v>2055</v>
      </c>
      <c r="AZ12">
        <f t="shared" si="7"/>
        <v>2056</v>
      </c>
      <c r="BA12">
        <f t="shared" si="7"/>
        <v>2057</v>
      </c>
      <c r="BB12">
        <f t="shared" si="7"/>
        <v>2058</v>
      </c>
      <c r="BC12">
        <f t="shared" si="7"/>
        <v>2059</v>
      </c>
      <c r="BD12">
        <f t="shared" si="7"/>
        <v>2060</v>
      </c>
      <c r="BE12">
        <f t="shared" si="7"/>
        <v>2061</v>
      </c>
      <c r="BF12">
        <f t="shared" si="7"/>
        <v>2062</v>
      </c>
      <c r="BG12">
        <f t="shared" si="7"/>
        <v>2063</v>
      </c>
      <c r="BH12">
        <f t="shared" si="7"/>
        <v>2064</v>
      </c>
      <c r="BI12">
        <f t="shared" si="7"/>
        <v>2065</v>
      </c>
      <c r="BJ12">
        <f t="shared" si="7"/>
        <v>2066</v>
      </c>
      <c r="BK12">
        <f t="shared" si="7"/>
        <v>2067</v>
      </c>
      <c r="BL12">
        <f t="shared" si="7"/>
        <v>2068</v>
      </c>
      <c r="BM12">
        <f t="shared" si="7"/>
        <v>2069</v>
      </c>
      <c r="BN12">
        <f t="shared" si="7"/>
        <v>2070</v>
      </c>
      <c r="BO12">
        <f t="shared" si="7"/>
        <v>2071</v>
      </c>
      <c r="BP12">
        <f t="shared" si="7"/>
        <v>2072</v>
      </c>
      <c r="BQ12">
        <f t="shared" si="7"/>
        <v>2073</v>
      </c>
      <c r="BR12">
        <f t="shared" si="7"/>
        <v>2074</v>
      </c>
      <c r="BS12">
        <f t="shared" si="7"/>
        <v>2075</v>
      </c>
      <c r="BT12">
        <f t="shared" si="7"/>
        <v>2076</v>
      </c>
      <c r="BU12">
        <f t="shared" si="7"/>
        <v>2077</v>
      </c>
      <c r="BV12">
        <f t="shared" si="7"/>
        <v>2078</v>
      </c>
      <c r="BW12">
        <f t="shared" si="7"/>
        <v>2079</v>
      </c>
      <c r="BX12">
        <f t="shared" si="7"/>
        <v>2080</v>
      </c>
      <c r="BY12">
        <f t="shared" si="7"/>
        <v>2081</v>
      </c>
      <c r="BZ12">
        <f t="shared" si="7"/>
        <v>2082</v>
      </c>
      <c r="CA12">
        <f t="shared" si="7"/>
        <v>2083</v>
      </c>
      <c r="CB12">
        <f t="shared" ref="CB12:DJ12" si="8">CA12+1</f>
        <v>2084</v>
      </c>
      <c r="CC12">
        <f t="shared" si="8"/>
        <v>2085</v>
      </c>
      <c r="CD12">
        <f t="shared" si="8"/>
        <v>2086</v>
      </c>
      <c r="CE12">
        <f t="shared" si="8"/>
        <v>2087</v>
      </c>
      <c r="CF12">
        <f t="shared" si="8"/>
        <v>2088</v>
      </c>
      <c r="CG12">
        <f t="shared" si="8"/>
        <v>2089</v>
      </c>
      <c r="CH12">
        <f t="shared" si="8"/>
        <v>2090</v>
      </c>
      <c r="CI12">
        <f t="shared" si="8"/>
        <v>2091</v>
      </c>
      <c r="CJ12">
        <f t="shared" si="8"/>
        <v>2092</v>
      </c>
      <c r="CK12">
        <f t="shared" si="8"/>
        <v>2093</v>
      </c>
      <c r="CL12">
        <f t="shared" si="8"/>
        <v>2094</v>
      </c>
      <c r="CM12">
        <f t="shared" si="8"/>
        <v>2095</v>
      </c>
      <c r="CN12">
        <f t="shared" si="8"/>
        <v>2096</v>
      </c>
      <c r="CO12">
        <f t="shared" si="8"/>
        <v>2097</v>
      </c>
      <c r="CP12">
        <f t="shared" si="8"/>
        <v>2098</v>
      </c>
      <c r="CQ12">
        <f t="shared" si="8"/>
        <v>2099</v>
      </c>
      <c r="CR12">
        <f t="shared" si="8"/>
        <v>2100</v>
      </c>
      <c r="CS12">
        <f t="shared" si="8"/>
        <v>2101</v>
      </c>
      <c r="CT12">
        <f t="shared" si="8"/>
        <v>2102</v>
      </c>
      <c r="CU12">
        <f t="shared" si="8"/>
        <v>2103</v>
      </c>
      <c r="CV12">
        <f t="shared" si="8"/>
        <v>2104</v>
      </c>
      <c r="CW12">
        <f t="shared" si="8"/>
        <v>2105</v>
      </c>
      <c r="CX12">
        <f t="shared" si="8"/>
        <v>2106</v>
      </c>
      <c r="CY12">
        <f t="shared" si="8"/>
        <v>2107</v>
      </c>
      <c r="CZ12">
        <f t="shared" si="8"/>
        <v>2108</v>
      </c>
      <c r="DA12">
        <f t="shared" si="8"/>
        <v>2109</v>
      </c>
      <c r="DB12">
        <f t="shared" si="8"/>
        <v>2110</v>
      </c>
      <c r="DC12">
        <f t="shared" si="8"/>
        <v>2111</v>
      </c>
      <c r="DD12">
        <f t="shared" si="8"/>
        <v>2112</v>
      </c>
      <c r="DE12">
        <f t="shared" si="8"/>
        <v>2113</v>
      </c>
      <c r="DF12">
        <f t="shared" si="8"/>
        <v>2114</v>
      </c>
      <c r="DG12">
        <f t="shared" si="8"/>
        <v>2115</v>
      </c>
      <c r="DH12">
        <f t="shared" si="8"/>
        <v>2116</v>
      </c>
      <c r="DI12">
        <f t="shared" si="8"/>
        <v>2117</v>
      </c>
      <c r="DJ12">
        <f t="shared" si="8"/>
        <v>2118</v>
      </c>
    </row>
    <row r="13" spans="2:169" x14ac:dyDescent="0.25">
      <c r="B13">
        <f>'One ret age'!C7</f>
        <v>46</v>
      </c>
      <c r="C13">
        <f>'One ret age'!C8</f>
        <v>10</v>
      </c>
      <c r="D13" t="b">
        <f>OR(AND(B13&gt;=$C$6, C13 &gt;= $C$7), 'One ret age'!$C$5="Retired")</f>
        <v>0</v>
      </c>
      <c r="E13">
        <f>IF(D13, 0, VLOOKUP(B13, Withd!$A$2:$AZ$57, MIN(C13, 50) + 2))</f>
        <v>4.1000000000000002E-2</v>
      </c>
      <c r="F13">
        <f>IF(D13, VLOOKUP(B13,Ret!$A$2:$AZ$27, MIN(C13, 50) + 2), 0)</f>
        <v>0</v>
      </c>
      <c r="G13">
        <f>VLOOKUP(B13,Mort!$A$2:$E$111,IF('One ret age'!$C$6="M",2,3))</f>
        <v>1.16E-3</v>
      </c>
      <c r="H13" s="11">
        <f>IF('One ret age'!C5="Retired", 0, 1)</f>
        <v>1</v>
      </c>
      <c r="I13">
        <f>IF('One ret age'!C5="Retired", 1, F13*H13)</f>
        <v>0</v>
      </c>
      <c r="K13" s="12">
        <v>341229.51</v>
      </c>
      <c r="L13" s="12">
        <v>24373.54</v>
      </c>
      <c r="M13" s="12"/>
      <c r="N13" s="12"/>
      <c r="O13" s="3">
        <v>0</v>
      </c>
      <c r="P13" s="3">
        <v>10750.45</v>
      </c>
      <c r="Q13" s="3">
        <v>11306.56</v>
      </c>
      <c r="R13" s="3">
        <v>11885.13</v>
      </c>
      <c r="S13" s="3">
        <v>12485.26</v>
      </c>
      <c r="T13" s="3">
        <v>13105.96</v>
      </c>
      <c r="U13" s="3">
        <v>13755.31</v>
      </c>
      <c r="V13" s="3">
        <v>14434.36</v>
      </c>
      <c r="W13" s="3">
        <v>15143.89</v>
      </c>
      <c r="X13" s="3">
        <v>15884.45</v>
      </c>
      <c r="Y13" s="3">
        <v>16657.71</v>
      </c>
      <c r="Z13" s="3">
        <v>17465.810000000001</v>
      </c>
      <c r="AA13" s="3">
        <v>18311.259999999998</v>
      </c>
      <c r="AB13" s="3">
        <v>19193.2</v>
      </c>
      <c r="AC13" s="3">
        <v>20111.939999999999</v>
      </c>
      <c r="AD13" s="3">
        <v>21067.46</v>
      </c>
      <c r="AE13" s="3">
        <v>22063.69</v>
      </c>
      <c r="AF13" s="3">
        <v>23101.91</v>
      </c>
      <c r="AG13" s="3">
        <v>24184.61</v>
      </c>
      <c r="AH13" s="3">
        <v>10425.540000000001</v>
      </c>
      <c r="AI13" s="3">
        <v>10907.77</v>
      </c>
      <c r="AJ13" s="3">
        <v>11405.74</v>
      </c>
      <c r="AK13" s="3">
        <v>11917.41</v>
      </c>
      <c r="AL13" s="3">
        <v>12441.36</v>
      </c>
      <c r="AM13" s="3">
        <v>12972.71</v>
      </c>
      <c r="AN13" s="3">
        <v>13507.61</v>
      </c>
      <c r="AO13" s="3">
        <v>14042.04</v>
      </c>
      <c r="AP13" s="3">
        <v>14572.44</v>
      </c>
      <c r="AQ13" s="3">
        <v>15096.89</v>
      </c>
      <c r="AR13" s="3">
        <v>15609.47</v>
      </c>
      <c r="AS13" s="3">
        <v>16104.87</v>
      </c>
      <c r="AT13" s="3">
        <v>16576.23</v>
      </c>
      <c r="AU13" s="3">
        <v>17011.21</v>
      </c>
      <c r="AV13" s="3">
        <v>17396.93</v>
      </c>
      <c r="AW13" s="3">
        <v>17718.91</v>
      </c>
      <c r="AX13" s="3">
        <v>17964.59</v>
      </c>
      <c r="AY13" s="3">
        <v>18118.53</v>
      </c>
      <c r="AZ13" s="3">
        <v>18165.61</v>
      </c>
      <c r="BA13" s="3">
        <v>18094.18</v>
      </c>
      <c r="BB13" s="3">
        <v>17897.04</v>
      </c>
      <c r="BC13" s="3">
        <v>17565.53</v>
      </c>
      <c r="BD13" s="3">
        <v>17092.099999999999</v>
      </c>
      <c r="BE13" s="3">
        <v>16439.560000000001</v>
      </c>
      <c r="BF13" s="3">
        <v>15600.52</v>
      </c>
      <c r="BG13" s="3">
        <v>14577.67</v>
      </c>
      <c r="BH13" s="3">
        <v>13384.11</v>
      </c>
      <c r="BI13" s="3">
        <v>12048.23</v>
      </c>
      <c r="BJ13" s="3">
        <v>10614.73</v>
      </c>
      <c r="BK13" s="3">
        <v>9138.7900000000009</v>
      </c>
      <c r="BL13" s="3">
        <v>7677.08</v>
      </c>
      <c r="BM13" s="3">
        <v>6281.51</v>
      </c>
      <c r="BN13" s="3">
        <v>4996.29</v>
      </c>
      <c r="BO13" s="3">
        <v>3855.17</v>
      </c>
      <c r="BP13" s="3">
        <v>2902.72</v>
      </c>
      <c r="BQ13" s="3">
        <v>2112.67</v>
      </c>
      <c r="BR13" s="3">
        <v>1503.68</v>
      </c>
      <c r="BS13" s="3">
        <v>1014.59</v>
      </c>
      <c r="BT13" s="3">
        <v>645.27</v>
      </c>
      <c r="BU13" s="3">
        <v>370.84</v>
      </c>
      <c r="BV13" s="3">
        <v>187.52</v>
      </c>
      <c r="BW13" s="3">
        <v>82.05</v>
      </c>
      <c r="BX13" s="3">
        <v>30.74</v>
      </c>
      <c r="BY13" s="3">
        <v>9.39</v>
      </c>
      <c r="BZ13" s="3">
        <v>2.15</v>
      </c>
      <c r="CA13" s="3">
        <v>0.31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3">
        <v>0</v>
      </c>
      <c r="DB13" s="3">
        <v>0</v>
      </c>
      <c r="DC13" s="3">
        <v>0</v>
      </c>
      <c r="DD13" s="3">
        <v>0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FI13" s="3"/>
      <c r="FJ13" s="3"/>
      <c r="FK13" s="3"/>
      <c r="FL13" s="3"/>
      <c r="FM13" s="3"/>
    </row>
    <row r="14" spans="2:169" x14ac:dyDescent="0.25">
      <c r="B14">
        <f t="shared" ref="B14:B45" si="9">B13+1</f>
        <v>47</v>
      </c>
      <c r="C14">
        <f t="shared" ref="C14:C45" si="10">C13+1</f>
        <v>11</v>
      </c>
      <c r="D14" t="b">
        <f>OR(AND(B14&gt;=$C$6, C14 &gt;= $C$7), 'One ret age'!$C$5="Retired")</f>
        <v>0</v>
      </c>
      <c r="E14">
        <f>IF(D14, 0, VLOOKUP(B14, Withd!$A$2:$AZ$57, MIN(C14, 50) + 2))</f>
        <v>3.8199999999999998E-2</v>
      </c>
      <c r="F14">
        <f>IF(D14, VLOOKUP(B14,Ret!$A$2:$AZ$27, MIN(C14, 50) + 2), 0)</f>
        <v>0</v>
      </c>
      <c r="G14">
        <f>VLOOKUP(B14,Mort!$A$2:$E$111,IF('One ret age'!$C$6="M",2,3))</f>
        <v>1.2600000000000001E-3</v>
      </c>
      <c r="H14">
        <f t="shared" ref="H14:H45" si="11">H13*MAX(1-E13-F13-G13, 0)</f>
        <v>0.95783999999999991</v>
      </c>
      <c r="I14">
        <f t="shared" ref="I14:I45" si="12">F14*H14</f>
        <v>0</v>
      </c>
      <c r="K14" s="12">
        <v>331901.57</v>
      </c>
      <c r="L14" s="12">
        <v>23707.26</v>
      </c>
      <c r="O14" s="3"/>
      <c r="P14" s="3">
        <v>0</v>
      </c>
      <c r="Q14" s="3">
        <v>11341.72</v>
      </c>
      <c r="R14" s="3">
        <v>11922.09</v>
      </c>
      <c r="S14" s="3">
        <v>12524.09</v>
      </c>
      <c r="T14" s="3">
        <v>13146.72</v>
      </c>
      <c r="U14" s="3">
        <v>13798.09</v>
      </c>
      <c r="V14" s="3">
        <v>14479.24</v>
      </c>
      <c r="W14" s="3">
        <v>15190.98</v>
      </c>
      <c r="X14" s="3">
        <v>15933.85</v>
      </c>
      <c r="Y14" s="3">
        <v>16709.509999999998</v>
      </c>
      <c r="Z14" s="3">
        <v>17520.12</v>
      </c>
      <c r="AA14" s="3">
        <v>18368.2</v>
      </c>
      <c r="AB14" s="3">
        <v>19252.89</v>
      </c>
      <c r="AC14" s="3">
        <v>20174.48</v>
      </c>
      <c r="AD14" s="3">
        <v>21132.97</v>
      </c>
      <c r="AE14" s="3">
        <v>22132.3</v>
      </c>
      <c r="AF14" s="3">
        <v>23173.75</v>
      </c>
      <c r="AG14" s="3">
        <v>24259.81</v>
      </c>
      <c r="AH14" s="3">
        <v>10457.959999999999</v>
      </c>
      <c r="AI14" s="3">
        <v>10941.69</v>
      </c>
      <c r="AJ14" s="3">
        <v>11441.2</v>
      </c>
      <c r="AK14" s="3">
        <v>11954.47</v>
      </c>
      <c r="AL14" s="3">
        <v>12480.05</v>
      </c>
      <c r="AM14" s="3">
        <v>13013.06</v>
      </c>
      <c r="AN14" s="3">
        <v>13549.62</v>
      </c>
      <c r="AO14" s="3">
        <v>14085.71</v>
      </c>
      <c r="AP14" s="3">
        <v>14617.75</v>
      </c>
      <c r="AQ14" s="3">
        <v>15143.83</v>
      </c>
      <c r="AR14" s="3">
        <v>15658.01</v>
      </c>
      <c r="AS14" s="3">
        <v>16154.95</v>
      </c>
      <c r="AT14" s="3">
        <v>16627.78</v>
      </c>
      <c r="AU14" s="3">
        <v>17064.11</v>
      </c>
      <c r="AV14" s="3">
        <v>17451.03</v>
      </c>
      <c r="AW14" s="3">
        <v>17774</v>
      </c>
      <c r="AX14" s="3">
        <v>18020.45</v>
      </c>
      <c r="AY14" s="3">
        <v>18174.88</v>
      </c>
      <c r="AZ14" s="3">
        <v>18222.099999999999</v>
      </c>
      <c r="BA14" s="3">
        <v>18150.45</v>
      </c>
      <c r="BB14" s="3">
        <v>17952.689999999999</v>
      </c>
      <c r="BC14" s="3">
        <v>17620.150000000001</v>
      </c>
      <c r="BD14" s="3">
        <v>17145.25</v>
      </c>
      <c r="BE14" s="3">
        <v>16490.68</v>
      </c>
      <c r="BF14" s="3">
        <v>15649.03</v>
      </c>
      <c r="BG14" s="3">
        <v>14623</v>
      </c>
      <c r="BH14" s="3">
        <v>13425.73</v>
      </c>
      <c r="BI14" s="3">
        <v>12085.7</v>
      </c>
      <c r="BJ14" s="3">
        <v>10647.74</v>
      </c>
      <c r="BK14" s="3">
        <v>9167.2099999999991</v>
      </c>
      <c r="BL14" s="3">
        <v>7700.96</v>
      </c>
      <c r="BM14" s="3">
        <v>6301.04</v>
      </c>
      <c r="BN14" s="3">
        <v>5011.83</v>
      </c>
      <c r="BO14" s="3">
        <v>3867.15</v>
      </c>
      <c r="BP14" s="3">
        <v>2911.75</v>
      </c>
      <c r="BQ14" s="3">
        <v>2119.2399999999998</v>
      </c>
      <c r="BR14" s="3">
        <v>1508.36</v>
      </c>
      <c r="BS14" s="3">
        <v>1017.74</v>
      </c>
      <c r="BT14" s="3">
        <v>647.28</v>
      </c>
      <c r="BU14" s="3">
        <v>371.99</v>
      </c>
      <c r="BV14" s="3">
        <v>188.1</v>
      </c>
      <c r="BW14" s="3">
        <v>82.3</v>
      </c>
      <c r="BX14" s="3">
        <v>30.84</v>
      </c>
      <c r="BY14" s="3">
        <v>9.42</v>
      </c>
      <c r="BZ14" s="3">
        <v>2.16</v>
      </c>
      <c r="CA14" s="3">
        <v>0.31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</v>
      </c>
      <c r="CU14" s="3">
        <v>0</v>
      </c>
      <c r="CV14" s="3">
        <v>0</v>
      </c>
      <c r="CW14" s="3">
        <v>0</v>
      </c>
      <c r="CX14" s="3">
        <v>0</v>
      </c>
      <c r="CY14" s="3">
        <v>0</v>
      </c>
      <c r="CZ14" s="3">
        <v>0</v>
      </c>
      <c r="DA14" s="3">
        <v>0</v>
      </c>
      <c r="DB14" s="3">
        <v>0</v>
      </c>
      <c r="DC14" s="3">
        <v>0</v>
      </c>
      <c r="DD14" s="3">
        <v>0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FI14" s="3"/>
      <c r="FJ14" s="3"/>
      <c r="FK14" s="3"/>
      <c r="FL14" s="3"/>
      <c r="FM14" s="3"/>
    </row>
    <row r="15" spans="2:169" x14ac:dyDescent="0.25">
      <c r="B15">
        <f t="shared" si="9"/>
        <v>48</v>
      </c>
      <c r="C15">
        <f t="shared" si="10"/>
        <v>12</v>
      </c>
      <c r="D15" t="b">
        <f>OR(AND(B15&gt;=$C$6, C15 &gt;= $C$7), 'One ret age'!$C$5="Retired")</f>
        <v>0</v>
      </c>
      <c r="E15">
        <f>IF(D15, 0, VLOOKUP(B15, Withd!$A$2:$AZ$57, MIN(C15, 50) + 2))</f>
        <v>3.5499999999999997E-2</v>
      </c>
      <c r="F15">
        <f>IF(D15, VLOOKUP(B15,Ret!$A$2:$AZ$27, MIN(C15, 50) + 2), 0)</f>
        <v>0</v>
      </c>
      <c r="G15">
        <f>VLOOKUP(B15,Mort!$A$2:$E$111,IF('One ret age'!$C$6="M",2,3))</f>
        <v>1.3600000000000001E-3</v>
      </c>
      <c r="H15">
        <f t="shared" si="11"/>
        <v>0.92004363359999985</v>
      </c>
      <c r="I15">
        <f t="shared" si="12"/>
        <v>0</v>
      </c>
      <c r="K15" s="12">
        <v>322545.87</v>
      </c>
      <c r="L15" s="12">
        <v>23038.99</v>
      </c>
      <c r="O15" s="3"/>
      <c r="P15" s="3"/>
      <c r="Q15" s="3">
        <v>0</v>
      </c>
      <c r="R15" s="3">
        <v>11965.52</v>
      </c>
      <c r="S15" s="3">
        <v>12569.72</v>
      </c>
      <c r="T15" s="3">
        <v>13194.61</v>
      </c>
      <c r="U15" s="3">
        <v>13848.35</v>
      </c>
      <c r="V15" s="3">
        <v>14531.99</v>
      </c>
      <c r="W15" s="3">
        <v>15246.32</v>
      </c>
      <c r="X15" s="3">
        <v>15991.9</v>
      </c>
      <c r="Y15" s="3">
        <v>16770.39</v>
      </c>
      <c r="Z15" s="3">
        <v>17583.95</v>
      </c>
      <c r="AA15" s="3">
        <v>18435.12</v>
      </c>
      <c r="AB15" s="3">
        <v>19323.03</v>
      </c>
      <c r="AC15" s="3">
        <v>20247.98</v>
      </c>
      <c r="AD15" s="3">
        <v>21209.96</v>
      </c>
      <c r="AE15" s="3">
        <v>22212.94</v>
      </c>
      <c r="AF15" s="3">
        <v>23258.18</v>
      </c>
      <c r="AG15" s="3">
        <v>24348.2</v>
      </c>
      <c r="AH15" s="3">
        <v>10496.06</v>
      </c>
      <c r="AI15" s="3">
        <v>10981.55</v>
      </c>
      <c r="AJ15" s="3">
        <v>11482.89</v>
      </c>
      <c r="AK15" s="3">
        <v>11998.02</v>
      </c>
      <c r="AL15" s="3">
        <v>12525.51</v>
      </c>
      <c r="AM15" s="3">
        <v>13060.46</v>
      </c>
      <c r="AN15" s="3">
        <v>13598.98</v>
      </c>
      <c r="AO15" s="3">
        <v>14137.03</v>
      </c>
      <c r="AP15" s="3">
        <v>14671.01</v>
      </c>
      <c r="AQ15" s="3">
        <v>15199.01</v>
      </c>
      <c r="AR15" s="3">
        <v>15715.05</v>
      </c>
      <c r="AS15" s="3">
        <v>16213.8</v>
      </c>
      <c r="AT15" s="3">
        <v>16688.36</v>
      </c>
      <c r="AU15" s="3">
        <v>17126.27</v>
      </c>
      <c r="AV15" s="3">
        <v>17514.61</v>
      </c>
      <c r="AW15" s="3">
        <v>17838.759999999998</v>
      </c>
      <c r="AX15" s="3">
        <v>18086.099999999999</v>
      </c>
      <c r="AY15" s="3">
        <v>18241.09</v>
      </c>
      <c r="AZ15" s="3">
        <v>18288.490000000002</v>
      </c>
      <c r="BA15" s="3">
        <v>18216.57</v>
      </c>
      <c r="BB15" s="3">
        <v>18018.099999999999</v>
      </c>
      <c r="BC15" s="3">
        <v>17684.349999999999</v>
      </c>
      <c r="BD15" s="3">
        <v>17207.71</v>
      </c>
      <c r="BE15" s="3">
        <v>16550.759999999998</v>
      </c>
      <c r="BF15" s="3">
        <v>15706.04</v>
      </c>
      <c r="BG15" s="3">
        <v>14676.27</v>
      </c>
      <c r="BH15" s="3">
        <v>13474.64</v>
      </c>
      <c r="BI15" s="3">
        <v>12129.73</v>
      </c>
      <c r="BJ15" s="3">
        <v>10686.53</v>
      </c>
      <c r="BK15" s="3">
        <v>9200.61</v>
      </c>
      <c r="BL15" s="3">
        <v>7729.01</v>
      </c>
      <c r="BM15" s="3">
        <v>6324</v>
      </c>
      <c r="BN15" s="3">
        <v>5030.09</v>
      </c>
      <c r="BO15" s="3">
        <v>3881.24</v>
      </c>
      <c r="BP15" s="3">
        <v>2922.36</v>
      </c>
      <c r="BQ15" s="3">
        <v>2126.96</v>
      </c>
      <c r="BR15" s="3">
        <v>1513.85</v>
      </c>
      <c r="BS15" s="3">
        <v>1021.45</v>
      </c>
      <c r="BT15" s="3">
        <v>649.64</v>
      </c>
      <c r="BU15" s="3">
        <v>373.35</v>
      </c>
      <c r="BV15" s="3">
        <v>188.78</v>
      </c>
      <c r="BW15" s="3">
        <v>82.6</v>
      </c>
      <c r="BX15" s="3">
        <v>30.95</v>
      </c>
      <c r="BY15" s="3">
        <v>9.4600000000000009</v>
      </c>
      <c r="BZ15" s="3">
        <v>2.17</v>
      </c>
      <c r="CA15" s="3">
        <v>0.32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3">
        <v>0</v>
      </c>
      <c r="DB15" s="3">
        <v>0</v>
      </c>
      <c r="DC15" s="3">
        <v>0</v>
      </c>
      <c r="DD15" s="3">
        <v>0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FI15" s="3"/>
      <c r="FJ15" s="3"/>
      <c r="FK15" s="3"/>
      <c r="FL15" s="3"/>
      <c r="FM15" s="3"/>
    </row>
    <row r="16" spans="2:169" x14ac:dyDescent="0.25">
      <c r="B16">
        <f t="shared" si="9"/>
        <v>49</v>
      </c>
      <c r="C16">
        <f t="shared" si="10"/>
        <v>13</v>
      </c>
      <c r="D16" t="b">
        <f>OR(AND(B16&gt;=$C$6, C16 &gt;= $C$7), 'One ret age'!$C$5="Retired")</f>
        <v>0</v>
      </c>
      <c r="E16">
        <f>IF(D16, 0, VLOOKUP(B16, Withd!$A$2:$AZ$57, MIN(C16, 50) + 2))</f>
        <v>3.0499999999999999E-2</v>
      </c>
      <c r="F16">
        <f>IF(D16, VLOOKUP(B16,Ret!$A$2:$AZ$27, MIN(C16, 50) + 2), 0)</f>
        <v>0</v>
      </c>
      <c r="G16">
        <f>VLOOKUP(B16,Mort!$A$2:$E$111,IF('One ret age'!$C$6="M",2,3))</f>
        <v>1.4499999999999999E-3</v>
      </c>
      <c r="H16">
        <f t="shared" si="11"/>
        <v>0.88613082526550391</v>
      </c>
      <c r="I16">
        <f t="shared" si="12"/>
        <v>0</v>
      </c>
      <c r="K16" s="12">
        <v>313184.23</v>
      </c>
      <c r="L16" s="12">
        <v>22370.3</v>
      </c>
      <c r="O16" s="3"/>
      <c r="P16" s="3"/>
      <c r="Q16" s="3"/>
      <c r="R16" s="3">
        <v>0</v>
      </c>
      <c r="S16" s="3">
        <v>12623.62</v>
      </c>
      <c r="T16" s="3">
        <v>13251.2</v>
      </c>
      <c r="U16" s="3">
        <v>13907.74</v>
      </c>
      <c r="V16" s="3">
        <v>14594.31</v>
      </c>
      <c r="W16" s="3">
        <v>15311.7</v>
      </c>
      <c r="X16" s="3">
        <v>16060.47</v>
      </c>
      <c r="Y16" s="3">
        <v>16842.310000000001</v>
      </c>
      <c r="Z16" s="3">
        <v>17659.36</v>
      </c>
      <c r="AA16" s="3">
        <v>18514.18</v>
      </c>
      <c r="AB16" s="3">
        <v>19405.89</v>
      </c>
      <c r="AC16" s="3">
        <v>20334.810000000001</v>
      </c>
      <c r="AD16" s="3">
        <v>21300.92</v>
      </c>
      <c r="AE16" s="3">
        <v>22308.19</v>
      </c>
      <c r="AF16" s="3">
        <v>23357.919999999998</v>
      </c>
      <c r="AG16" s="3">
        <v>24452.61</v>
      </c>
      <c r="AH16" s="3">
        <v>10541.07</v>
      </c>
      <c r="AI16" s="3">
        <v>11028.64</v>
      </c>
      <c r="AJ16" s="3">
        <v>11532.13</v>
      </c>
      <c r="AK16" s="3">
        <v>12049.47</v>
      </c>
      <c r="AL16" s="3">
        <v>12579.23</v>
      </c>
      <c r="AM16" s="3">
        <v>13116.47</v>
      </c>
      <c r="AN16" s="3">
        <v>13657.3</v>
      </c>
      <c r="AO16" s="3">
        <v>14197.65</v>
      </c>
      <c r="AP16" s="3">
        <v>14733.92</v>
      </c>
      <c r="AQ16" s="3">
        <v>15264.18</v>
      </c>
      <c r="AR16" s="3">
        <v>15782.44</v>
      </c>
      <c r="AS16" s="3">
        <v>16283.33</v>
      </c>
      <c r="AT16" s="3">
        <v>16759.919999999998</v>
      </c>
      <c r="AU16" s="3">
        <v>17199.72</v>
      </c>
      <c r="AV16" s="3">
        <v>17589.71</v>
      </c>
      <c r="AW16" s="3">
        <v>17915.259999999998</v>
      </c>
      <c r="AX16" s="3">
        <v>18163.66</v>
      </c>
      <c r="AY16" s="3">
        <v>18319.32</v>
      </c>
      <c r="AZ16" s="3">
        <v>18366.91</v>
      </c>
      <c r="BA16" s="3">
        <v>18294.689999999999</v>
      </c>
      <c r="BB16" s="3">
        <v>18095.36</v>
      </c>
      <c r="BC16" s="3">
        <v>17760.18</v>
      </c>
      <c r="BD16" s="3">
        <v>17281.509999999998</v>
      </c>
      <c r="BE16" s="3">
        <v>16621.740000000002</v>
      </c>
      <c r="BF16" s="3">
        <v>15773.39</v>
      </c>
      <c r="BG16" s="3">
        <v>14739.21</v>
      </c>
      <c r="BH16" s="3">
        <v>13532.42</v>
      </c>
      <c r="BI16" s="3">
        <v>12181.74</v>
      </c>
      <c r="BJ16" s="3">
        <v>10732.36</v>
      </c>
      <c r="BK16" s="3">
        <v>9240.07</v>
      </c>
      <c r="BL16" s="3">
        <v>7762.16</v>
      </c>
      <c r="BM16" s="3">
        <v>6351.12</v>
      </c>
      <c r="BN16" s="3">
        <v>5051.66</v>
      </c>
      <c r="BO16" s="3">
        <v>3897.89</v>
      </c>
      <c r="BP16" s="3">
        <v>2934.89</v>
      </c>
      <c r="BQ16" s="3">
        <v>2136.08</v>
      </c>
      <c r="BR16" s="3">
        <v>1520.34</v>
      </c>
      <c r="BS16" s="3">
        <v>1025.83</v>
      </c>
      <c r="BT16" s="3">
        <v>652.41999999999996</v>
      </c>
      <c r="BU16" s="3">
        <v>374.95</v>
      </c>
      <c r="BV16" s="3">
        <v>189.59</v>
      </c>
      <c r="BW16" s="3">
        <v>82.95</v>
      </c>
      <c r="BX16" s="3">
        <v>31.09</v>
      </c>
      <c r="BY16" s="3">
        <v>9.5</v>
      </c>
      <c r="BZ16" s="3">
        <v>2.1800000000000002</v>
      </c>
      <c r="CA16" s="3">
        <v>0.32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3">
        <v>0</v>
      </c>
      <c r="DB16" s="3">
        <v>0</v>
      </c>
      <c r="DC16" s="3">
        <v>0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FI16" s="3"/>
      <c r="FJ16" s="3"/>
      <c r="FK16" s="3"/>
      <c r="FL16" s="3"/>
      <c r="FM16" s="3"/>
    </row>
    <row r="17" spans="2:169" x14ac:dyDescent="0.25">
      <c r="B17">
        <f t="shared" si="9"/>
        <v>50</v>
      </c>
      <c r="C17">
        <f t="shared" si="10"/>
        <v>14</v>
      </c>
      <c r="D17" t="b">
        <f>OR(AND(B17&gt;=$C$6, C17 &gt;= $C$7), 'One ret age'!$C$5="Retired")</f>
        <v>1</v>
      </c>
      <c r="E17">
        <f>IF(D17, 0, VLOOKUP(B17, Withd!$A$2:$AZ$57, MIN(C17, 50) + 2))</f>
        <v>0</v>
      </c>
      <c r="F17">
        <f>IF(D17, VLOOKUP(B17,Ret!$A$2:$AZ$27, MIN(C17, 50) + 2), 0)</f>
        <v>1.4999999999999999E-2</v>
      </c>
      <c r="G17">
        <f>VLOOKUP(B17,Mort!$A$2:$E$111,IF('One ret age'!$C$6="M",2,3))</f>
        <v>1.5499999999999999E-3</v>
      </c>
      <c r="H17">
        <f t="shared" si="11"/>
        <v>0.85781894539827108</v>
      </c>
      <c r="I17">
        <f t="shared" si="12"/>
        <v>1.2867284180974065E-2</v>
      </c>
      <c r="K17" s="12">
        <v>303832.28000000003</v>
      </c>
      <c r="L17" s="12">
        <v>21702.31</v>
      </c>
      <c r="O17" s="3"/>
      <c r="P17" s="3"/>
      <c r="Q17" s="3"/>
      <c r="R17" s="3"/>
      <c r="S17" s="3">
        <v>0</v>
      </c>
      <c r="T17" s="3">
        <v>13317.92</v>
      </c>
      <c r="U17" s="3">
        <v>13977.77</v>
      </c>
      <c r="V17" s="3">
        <v>14667.8</v>
      </c>
      <c r="W17" s="3">
        <v>15388.8</v>
      </c>
      <c r="X17" s="3">
        <v>16141.34</v>
      </c>
      <c r="Y17" s="3">
        <v>16927.11</v>
      </c>
      <c r="Z17" s="3">
        <v>17748.27</v>
      </c>
      <c r="AA17" s="3">
        <v>18607.400000000001</v>
      </c>
      <c r="AB17" s="3">
        <v>19503.61</v>
      </c>
      <c r="AC17" s="3">
        <v>20437.2</v>
      </c>
      <c r="AD17" s="3">
        <v>21408.17</v>
      </c>
      <c r="AE17" s="3">
        <v>22420.52</v>
      </c>
      <c r="AF17" s="3">
        <v>23475.53</v>
      </c>
      <c r="AG17" s="3">
        <v>24575.73</v>
      </c>
      <c r="AH17" s="3">
        <v>10594.15</v>
      </c>
      <c r="AI17" s="3">
        <v>11084.17</v>
      </c>
      <c r="AJ17" s="3">
        <v>11590.19</v>
      </c>
      <c r="AK17" s="3">
        <v>12110.14</v>
      </c>
      <c r="AL17" s="3">
        <v>12642.57</v>
      </c>
      <c r="AM17" s="3">
        <v>13182.52</v>
      </c>
      <c r="AN17" s="3">
        <v>13726.07</v>
      </c>
      <c r="AO17" s="3">
        <v>14269.14</v>
      </c>
      <c r="AP17" s="3">
        <v>14808.11</v>
      </c>
      <c r="AQ17" s="3">
        <v>15341.04</v>
      </c>
      <c r="AR17" s="3">
        <v>15861.91</v>
      </c>
      <c r="AS17" s="3">
        <v>16365.32</v>
      </c>
      <c r="AT17" s="3">
        <v>16844.310000000001</v>
      </c>
      <c r="AU17" s="3">
        <v>17286.32</v>
      </c>
      <c r="AV17" s="3">
        <v>17678.28</v>
      </c>
      <c r="AW17" s="3">
        <v>18005.46</v>
      </c>
      <c r="AX17" s="3">
        <v>18255.12</v>
      </c>
      <c r="AY17" s="3">
        <v>18411.560000000001</v>
      </c>
      <c r="AZ17" s="3">
        <v>18459.39</v>
      </c>
      <c r="BA17" s="3">
        <v>18386.810000000001</v>
      </c>
      <c r="BB17" s="3">
        <v>18186.48</v>
      </c>
      <c r="BC17" s="3">
        <v>17849.61</v>
      </c>
      <c r="BD17" s="3">
        <v>17368.52</v>
      </c>
      <c r="BE17" s="3">
        <v>16705.43</v>
      </c>
      <c r="BF17" s="3">
        <v>15852.82</v>
      </c>
      <c r="BG17" s="3">
        <v>14813.42</v>
      </c>
      <c r="BH17" s="3">
        <v>13600.56</v>
      </c>
      <c r="BI17" s="3">
        <v>12243.08</v>
      </c>
      <c r="BJ17" s="3">
        <v>10786.4</v>
      </c>
      <c r="BK17" s="3">
        <v>9286.59</v>
      </c>
      <c r="BL17" s="3">
        <v>7801.24</v>
      </c>
      <c r="BM17" s="3">
        <v>6383.1</v>
      </c>
      <c r="BN17" s="3">
        <v>5077.09</v>
      </c>
      <c r="BO17" s="3">
        <v>3917.51</v>
      </c>
      <c r="BP17" s="3">
        <v>2949.66</v>
      </c>
      <c r="BQ17" s="3">
        <v>2146.83</v>
      </c>
      <c r="BR17" s="3">
        <v>1528</v>
      </c>
      <c r="BS17" s="3">
        <v>1031</v>
      </c>
      <c r="BT17" s="3">
        <v>655.71</v>
      </c>
      <c r="BU17" s="3">
        <v>376.84</v>
      </c>
      <c r="BV17" s="3">
        <v>190.55</v>
      </c>
      <c r="BW17" s="3">
        <v>83.37</v>
      </c>
      <c r="BX17" s="3">
        <v>31.24</v>
      </c>
      <c r="BY17" s="3">
        <v>9.5500000000000007</v>
      </c>
      <c r="BZ17" s="3">
        <v>2.19</v>
      </c>
      <c r="CA17" s="3">
        <v>0.32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FI17" s="3"/>
      <c r="FJ17" s="3"/>
      <c r="FK17" s="3"/>
      <c r="FL17" s="3"/>
      <c r="FM17" s="3"/>
    </row>
    <row r="18" spans="2:169" x14ac:dyDescent="0.25">
      <c r="B18">
        <f t="shared" si="9"/>
        <v>51</v>
      </c>
      <c r="C18">
        <f t="shared" si="10"/>
        <v>15</v>
      </c>
      <c r="D18" t="b">
        <f>OR(AND(B18&gt;=$C$6, C18 &gt;= $C$7), 'One ret age'!$C$5="Retired")</f>
        <v>1</v>
      </c>
      <c r="E18">
        <f>IF(D18, 0, VLOOKUP(B18, Withd!$A$2:$AZ$57, MIN(C18, 50) + 2))</f>
        <v>0</v>
      </c>
      <c r="F18">
        <f>IF(D18, VLOOKUP(B18,Ret!$A$2:$AZ$27, MIN(C18, 50) + 2), 0)</f>
        <v>1.4E-2</v>
      </c>
      <c r="G18">
        <f>VLOOKUP(B18,Mort!$A$2:$E$111,IF('One ret age'!$C$6="M",2,3))</f>
        <v>1.6999999999999999E-3</v>
      </c>
      <c r="H18">
        <f t="shared" si="11"/>
        <v>0.84362204185192968</v>
      </c>
      <c r="I18">
        <f t="shared" si="12"/>
        <v>1.1810708585927017E-2</v>
      </c>
      <c r="K18" s="12">
        <v>294301.62</v>
      </c>
      <c r="L18" s="12">
        <v>21021.54</v>
      </c>
      <c r="O18" s="3"/>
      <c r="P18" s="3"/>
      <c r="Q18" s="3"/>
      <c r="R18" s="3"/>
      <c r="S18" s="3"/>
      <c r="T18" s="3">
        <v>0</v>
      </c>
      <c r="U18" s="3">
        <v>14050.41</v>
      </c>
      <c r="V18" s="3">
        <v>14744.02</v>
      </c>
      <c r="W18" s="3">
        <v>15468.78</v>
      </c>
      <c r="X18" s="3">
        <v>16225.23</v>
      </c>
      <c r="Y18" s="3">
        <v>17015.080000000002</v>
      </c>
      <c r="Z18" s="3">
        <v>17840.509999999998</v>
      </c>
      <c r="AA18" s="3">
        <v>18704.099999999999</v>
      </c>
      <c r="AB18" s="3">
        <v>19604.96</v>
      </c>
      <c r="AC18" s="3">
        <v>20543.41</v>
      </c>
      <c r="AD18" s="3">
        <v>21519.43</v>
      </c>
      <c r="AE18" s="3">
        <v>22537.03</v>
      </c>
      <c r="AF18" s="3">
        <v>23597.53</v>
      </c>
      <c r="AG18" s="3">
        <v>24703.45</v>
      </c>
      <c r="AH18" s="3">
        <v>10649.21</v>
      </c>
      <c r="AI18" s="3">
        <v>11141.78</v>
      </c>
      <c r="AJ18" s="3">
        <v>11650.43</v>
      </c>
      <c r="AK18" s="3">
        <v>12173.08</v>
      </c>
      <c r="AL18" s="3">
        <v>12708.27</v>
      </c>
      <c r="AM18" s="3">
        <v>13251.02</v>
      </c>
      <c r="AN18" s="3">
        <v>13797.4</v>
      </c>
      <c r="AO18" s="3">
        <v>14343.29</v>
      </c>
      <c r="AP18" s="3">
        <v>14885.07</v>
      </c>
      <c r="AQ18" s="3">
        <v>15420.77</v>
      </c>
      <c r="AR18" s="3">
        <v>15944.34</v>
      </c>
      <c r="AS18" s="3">
        <v>16450.37</v>
      </c>
      <c r="AT18" s="3">
        <v>16931.849999999999</v>
      </c>
      <c r="AU18" s="3">
        <v>17376.16</v>
      </c>
      <c r="AV18" s="3">
        <v>17770.150000000001</v>
      </c>
      <c r="AW18" s="3">
        <v>18099.04</v>
      </c>
      <c r="AX18" s="3">
        <v>18349.990000000002</v>
      </c>
      <c r="AY18" s="3">
        <v>18507.240000000002</v>
      </c>
      <c r="AZ18" s="3">
        <v>18555.330000000002</v>
      </c>
      <c r="BA18" s="3">
        <v>18482.36</v>
      </c>
      <c r="BB18" s="3">
        <v>18280.990000000002</v>
      </c>
      <c r="BC18" s="3">
        <v>17942.37</v>
      </c>
      <c r="BD18" s="3">
        <v>17458.78</v>
      </c>
      <c r="BE18" s="3">
        <v>16792.25</v>
      </c>
      <c r="BF18" s="3">
        <v>15935.2</v>
      </c>
      <c r="BG18" s="3">
        <v>14890.41</v>
      </c>
      <c r="BH18" s="3">
        <v>13671.24</v>
      </c>
      <c r="BI18" s="3">
        <v>12306.71</v>
      </c>
      <c r="BJ18" s="3">
        <v>10842.46</v>
      </c>
      <c r="BK18" s="3">
        <v>9334.85</v>
      </c>
      <c r="BL18" s="3">
        <v>7841.78</v>
      </c>
      <c r="BM18" s="3">
        <v>6416.27</v>
      </c>
      <c r="BN18" s="3">
        <v>5103.4799999999996</v>
      </c>
      <c r="BO18" s="3">
        <v>3937.87</v>
      </c>
      <c r="BP18" s="3">
        <v>2964.99</v>
      </c>
      <c r="BQ18" s="3">
        <v>2157.9899999999998</v>
      </c>
      <c r="BR18" s="3">
        <v>1535.94</v>
      </c>
      <c r="BS18" s="3">
        <v>1036.3499999999999</v>
      </c>
      <c r="BT18" s="3">
        <v>659.12</v>
      </c>
      <c r="BU18" s="3">
        <v>378.8</v>
      </c>
      <c r="BV18" s="3">
        <v>191.54</v>
      </c>
      <c r="BW18" s="3">
        <v>83.81</v>
      </c>
      <c r="BX18" s="3">
        <v>31.4</v>
      </c>
      <c r="BY18" s="3">
        <v>9.59</v>
      </c>
      <c r="BZ18" s="3">
        <v>2.2000000000000002</v>
      </c>
      <c r="CA18" s="3">
        <v>0.32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3">
        <v>0</v>
      </c>
      <c r="DB18" s="3">
        <v>0</v>
      </c>
      <c r="DC18" s="3">
        <v>0</v>
      </c>
      <c r="DD18" s="3">
        <v>0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FI18" s="3"/>
      <c r="FJ18" s="3"/>
      <c r="FK18" s="3"/>
      <c r="FL18" s="3"/>
      <c r="FM18" s="3"/>
    </row>
    <row r="19" spans="2:169" x14ac:dyDescent="0.25">
      <c r="B19">
        <f t="shared" si="9"/>
        <v>52</v>
      </c>
      <c r="C19">
        <f t="shared" si="10"/>
        <v>16</v>
      </c>
      <c r="D19" t="b">
        <f>OR(AND(B19&gt;=$C$6, C19 &gt;= $C$7), 'One ret age'!$C$5="Retired")</f>
        <v>1</v>
      </c>
      <c r="E19">
        <f>IF(D19, 0, VLOOKUP(B19, Withd!$A$2:$AZ$57, MIN(C19, 50) + 2))</f>
        <v>0</v>
      </c>
      <c r="F19">
        <f>IF(D19, VLOOKUP(B19,Ret!$A$2:$AZ$27, MIN(C19, 50) + 2), 0)</f>
        <v>1.7999999999999999E-2</v>
      </c>
      <c r="G19">
        <f>VLOOKUP(B19,Mort!$A$2:$E$111,IF('One ret age'!$C$6="M",2,3))</f>
        <v>1.8500000000000001E-3</v>
      </c>
      <c r="H19">
        <f t="shared" si="11"/>
        <v>0.83037717579485437</v>
      </c>
      <c r="I19">
        <f t="shared" si="12"/>
        <v>1.4946789164307377E-2</v>
      </c>
      <c r="K19" s="12">
        <v>284588.12</v>
      </c>
      <c r="L19" s="12">
        <v>20327.72</v>
      </c>
      <c r="O19" s="3"/>
      <c r="P19" s="3"/>
      <c r="Q19" s="3"/>
      <c r="R19" s="3"/>
      <c r="S19" s="3"/>
      <c r="T19" s="3"/>
      <c r="U19" s="3">
        <v>0</v>
      </c>
      <c r="V19" s="3">
        <v>14823.18</v>
      </c>
      <c r="W19" s="3">
        <v>15551.82</v>
      </c>
      <c r="X19" s="3">
        <v>16312.33</v>
      </c>
      <c r="Y19" s="3">
        <v>17106.43</v>
      </c>
      <c r="Z19" s="3">
        <v>17936.29</v>
      </c>
      <c r="AA19" s="3">
        <v>18804.52</v>
      </c>
      <c r="AB19" s="3">
        <v>19710.22</v>
      </c>
      <c r="AC19" s="3">
        <v>20653.7</v>
      </c>
      <c r="AD19" s="3">
        <v>21634.959999999999</v>
      </c>
      <c r="AE19" s="3">
        <v>22658.03</v>
      </c>
      <c r="AF19" s="3">
        <v>23724.21</v>
      </c>
      <c r="AG19" s="3">
        <v>24836.080000000002</v>
      </c>
      <c r="AH19" s="3">
        <v>10706.38</v>
      </c>
      <c r="AI19" s="3">
        <v>11201.59</v>
      </c>
      <c r="AJ19" s="3">
        <v>11712.97</v>
      </c>
      <c r="AK19" s="3">
        <v>12238.43</v>
      </c>
      <c r="AL19" s="3">
        <v>12776.5</v>
      </c>
      <c r="AM19" s="3">
        <v>13322.16</v>
      </c>
      <c r="AN19" s="3">
        <v>13871.47</v>
      </c>
      <c r="AO19" s="3">
        <v>14420.3</v>
      </c>
      <c r="AP19" s="3">
        <v>14964.98</v>
      </c>
      <c r="AQ19" s="3">
        <v>15503.56</v>
      </c>
      <c r="AR19" s="3">
        <v>16029.94</v>
      </c>
      <c r="AS19" s="3">
        <v>16538.689999999999</v>
      </c>
      <c r="AT19" s="3">
        <v>17022.75</v>
      </c>
      <c r="AU19" s="3">
        <v>17469.439999999999</v>
      </c>
      <c r="AV19" s="3">
        <v>17865.560000000001</v>
      </c>
      <c r="AW19" s="3">
        <v>18196.2</v>
      </c>
      <c r="AX19" s="3">
        <v>18448.5</v>
      </c>
      <c r="AY19" s="3">
        <v>18606.599999999999</v>
      </c>
      <c r="AZ19" s="3">
        <v>18654.939999999999</v>
      </c>
      <c r="BA19" s="3">
        <v>18581.59</v>
      </c>
      <c r="BB19" s="3">
        <v>18379.14</v>
      </c>
      <c r="BC19" s="3">
        <v>18038.7</v>
      </c>
      <c r="BD19" s="3">
        <v>17552.509999999998</v>
      </c>
      <c r="BE19" s="3">
        <v>16882.400000000001</v>
      </c>
      <c r="BF19" s="3">
        <v>16020.75</v>
      </c>
      <c r="BG19" s="3">
        <v>14970.35</v>
      </c>
      <c r="BH19" s="3">
        <v>13744.64</v>
      </c>
      <c r="BI19" s="3">
        <v>12372.78</v>
      </c>
      <c r="BJ19" s="3">
        <v>10900.66</v>
      </c>
      <c r="BK19" s="3">
        <v>9384.9699999999993</v>
      </c>
      <c r="BL19" s="3">
        <v>7883.88</v>
      </c>
      <c r="BM19" s="3">
        <v>6450.72</v>
      </c>
      <c r="BN19" s="3">
        <v>5130.88</v>
      </c>
      <c r="BO19" s="3">
        <v>3959.01</v>
      </c>
      <c r="BP19" s="3">
        <v>2980.91</v>
      </c>
      <c r="BQ19" s="3">
        <v>2169.58</v>
      </c>
      <c r="BR19" s="3">
        <v>1544.19</v>
      </c>
      <c r="BS19" s="3">
        <v>1041.92</v>
      </c>
      <c r="BT19" s="3">
        <v>662.66</v>
      </c>
      <c r="BU19" s="3">
        <v>380.83</v>
      </c>
      <c r="BV19" s="3">
        <v>192.57</v>
      </c>
      <c r="BW19" s="3">
        <v>84.26</v>
      </c>
      <c r="BX19" s="3">
        <v>31.57</v>
      </c>
      <c r="BY19" s="3">
        <v>9.65</v>
      </c>
      <c r="BZ19" s="3">
        <v>2.21</v>
      </c>
      <c r="CA19" s="3">
        <v>0.32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FI19" s="3"/>
      <c r="FJ19" s="3"/>
      <c r="FK19" s="3"/>
      <c r="FL19" s="3"/>
      <c r="FM19" s="3"/>
    </row>
    <row r="20" spans="2:169" x14ac:dyDescent="0.25">
      <c r="B20">
        <f t="shared" si="9"/>
        <v>53</v>
      </c>
      <c r="C20">
        <f t="shared" si="10"/>
        <v>17</v>
      </c>
      <c r="D20" t="b">
        <f>OR(AND(B20&gt;=$C$6, C20 &gt;= $C$7), 'One ret age'!$C$5="Retired")</f>
        <v>1</v>
      </c>
      <c r="E20">
        <f>IF(D20, 0, VLOOKUP(B20, Withd!$A$2:$AZ$57, MIN(C20, 50) + 2))</f>
        <v>0</v>
      </c>
      <c r="F20">
        <f>IF(D20, VLOOKUP(B20,Ret!$A$2:$AZ$27, MIN(C20, 50) + 2), 0)</f>
        <v>1.6E-2</v>
      </c>
      <c r="G20">
        <f>VLOOKUP(B20,Mort!$A$2:$E$111,IF('One ret age'!$C$6="M",2,3))</f>
        <v>1.99E-3</v>
      </c>
      <c r="H20">
        <f t="shared" si="11"/>
        <v>0.81389418885532649</v>
      </c>
      <c r="I20">
        <f t="shared" si="12"/>
        <v>1.3022307021685223E-2</v>
      </c>
      <c r="K20" s="12">
        <v>274692.67</v>
      </c>
      <c r="L20" s="12">
        <v>19620.91</v>
      </c>
      <c r="O20" s="3"/>
      <c r="P20" s="3"/>
      <c r="Q20" s="3"/>
      <c r="R20" s="3"/>
      <c r="S20" s="3"/>
      <c r="T20" s="3"/>
      <c r="U20" s="3"/>
      <c r="V20" s="3">
        <v>0</v>
      </c>
      <c r="W20" s="3">
        <v>15638.46</v>
      </c>
      <c r="X20" s="3">
        <v>16403.21</v>
      </c>
      <c r="Y20" s="3">
        <v>17201.72</v>
      </c>
      <c r="Z20" s="3">
        <v>18036.21</v>
      </c>
      <c r="AA20" s="3">
        <v>18909.27</v>
      </c>
      <c r="AB20" s="3">
        <v>19820.02</v>
      </c>
      <c r="AC20" s="3">
        <v>20768.759999999998</v>
      </c>
      <c r="AD20" s="3">
        <v>21755.48</v>
      </c>
      <c r="AE20" s="3">
        <v>22784.25</v>
      </c>
      <c r="AF20" s="3">
        <v>23856.38</v>
      </c>
      <c r="AG20" s="3">
        <v>24974.43</v>
      </c>
      <c r="AH20" s="3">
        <v>10766.02</v>
      </c>
      <c r="AI20" s="3">
        <v>11263.99</v>
      </c>
      <c r="AJ20" s="3">
        <v>11778.23</v>
      </c>
      <c r="AK20" s="3">
        <v>12306.61</v>
      </c>
      <c r="AL20" s="3">
        <v>12847.67</v>
      </c>
      <c r="AM20" s="3">
        <v>13396.38</v>
      </c>
      <c r="AN20" s="3">
        <v>13948.75</v>
      </c>
      <c r="AO20" s="3">
        <v>14500.63</v>
      </c>
      <c r="AP20" s="3">
        <v>15048.35</v>
      </c>
      <c r="AQ20" s="3">
        <v>15589.93</v>
      </c>
      <c r="AR20" s="3">
        <v>16119.24</v>
      </c>
      <c r="AS20" s="3">
        <v>16630.82</v>
      </c>
      <c r="AT20" s="3">
        <v>17117.580000000002</v>
      </c>
      <c r="AU20" s="3">
        <v>17566.759999999998</v>
      </c>
      <c r="AV20" s="3">
        <v>17965.080000000002</v>
      </c>
      <c r="AW20" s="3">
        <v>18297.57</v>
      </c>
      <c r="AX20" s="3">
        <v>18551.28</v>
      </c>
      <c r="AY20" s="3">
        <v>18710.25</v>
      </c>
      <c r="AZ20" s="3">
        <v>18758.87</v>
      </c>
      <c r="BA20" s="3">
        <v>18685.099999999999</v>
      </c>
      <c r="BB20" s="3">
        <v>18481.52</v>
      </c>
      <c r="BC20" s="3">
        <v>18139.189999999999</v>
      </c>
      <c r="BD20" s="3">
        <v>17650.3</v>
      </c>
      <c r="BE20" s="3">
        <v>16976.45</v>
      </c>
      <c r="BF20" s="3">
        <v>16110</v>
      </c>
      <c r="BG20" s="3">
        <v>15053.75</v>
      </c>
      <c r="BH20" s="3">
        <v>13821.21</v>
      </c>
      <c r="BI20" s="3">
        <v>12441.71</v>
      </c>
      <c r="BJ20" s="3">
        <v>10961.39</v>
      </c>
      <c r="BK20" s="3">
        <v>9437.25</v>
      </c>
      <c r="BL20" s="3">
        <v>7927.8</v>
      </c>
      <c r="BM20" s="3">
        <v>6486.65</v>
      </c>
      <c r="BN20" s="3">
        <v>5159.46</v>
      </c>
      <c r="BO20" s="3">
        <v>3981.07</v>
      </c>
      <c r="BP20" s="3">
        <v>2997.52</v>
      </c>
      <c r="BQ20" s="3">
        <v>2181.66</v>
      </c>
      <c r="BR20" s="3">
        <v>1552.79</v>
      </c>
      <c r="BS20" s="3">
        <v>1047.72</v>
      </c>
      <c r="BT20" s="3">
        <v>666.35</v>
      </c>
      <c r="BU20" s="3">
        <v>382.95</v>
      </c>
      <c r="BV20" s="3">
        <v>193.64</v>
      </c>
      <c r="BW20" s="3">
        <v>84.72</v>
      </c>
      <c r="BX20" s="3">
        <v>31.75</v>
      </c>
      <c r="BY20" s="3">
        <v>9.6999999999999993</v>
      </c>
      <c r="BZ20" s="3">
        <v>2.2200000000000002</v>
      </c>
      <c r="CA20" s="3">
        <v>0.32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3">
        <v>0</v>
      </c>
      <c r="DB20" s="3">
        <v>0</v>
      </c>
      <c r="DC20" s="3">
        <v>0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FI20" s="3"/>
      <c r="FJ20" s="3"/>
      <c r="FK20" s="3"/>
      <c r="FL20" s="3"/>
      <c r="FM20" s="3"/>
    </row>
    <row r="21" spans="2:169" x14ac:dyDescent="0.25">
      <c r="B21">
        <f t="shared" si="9"/>
        <v>54</v>
      </c>
      <c r="C21">
        <f t="shared" si="10"/>
        <v>18</v>
      </c>
      <c r="D21" t="b">
        <f>OR(AND(B21&gt;=$C$6, C21 &gt;= $C$7), 'One ret age'!$C$5="Retired")</f>
        <v>1</v>
      </c>
      <c r="E21">
        <f>IF(D21, 0, VLOOKUP(B21, Withd!$A$2:$AZ$57, MIN(C21, 50) + 2))</f>
        <v>0</v>
      </c>
      <c r="F21">
        <f>IF(D21, VLOOKUP(B21,Ret!$A$2:$AZ$27, MIN(C21, 50) + 2), 0)</f>
        <v>2.4E-2</v>
      </c>
      <c r="G21">
        <f>VLOOKUP(B21,Mort!$A$2:$E$111,IF('One ret age'!$C$6="M",2,3))</f>
        <v>2.1299999999999999E-3</v>
      </c>
      <c r="H21">
        <f t="shared" si="11"/>
        <v>0.79925223239781917</v>
      </c>
      <c r="I21">
        <f t="shared" si="12"/>
        <v>1.918205357754766E-2</v>
      </c>
      <c r="K21" s="12">
        <v>264617.99</v>
      </c>
      <c r="L21" s="12">
        <v>18901.29</v>
      </c>
      <c r="O21" s="3"/>
      <c r="P21" s="3"/>
      <c r="Q21" s="3"/>
      <c r="R21" s="3"/>
      <c r="S21" s="3"/>
      <c r="T21" s="3"/>
      <c r="U21" s="3"/>
      <c r="V21" s="3"/>
      <c r="W21" s="3">
        <v>0</v>
      </c>
      <c r="X21" s="3">
        <v>16498.57</v>
      </c>
      <c r="Y21" s="3">
        <v>17301.73</v>
      </c>
      <c r="Z21" s="3">
        <v>18141.07</v>
      </c>
      <c r="AA21" s="3">
        <v>19019.2</v>
      </c>
      <c r="AB21" s="3">
        <v>19935.25</v>
      </c>
      <c r="AC21" s="3">
        <v>20889.5</v>
      </c>
      <c r="AD21" s="3">
        <v>21881.96</v>
      </c>
      <c r="AE21" s="3">
        <v>22916.71</v>
      </c>
      <c r="AF21" s="3">
        <v>23995.07</v>
      </c>
      <c r="AG21" s="3">
        <v>25119.62</v>
      </c>
      <c r="AH21" s="3">
        <v>10828.61</v>
      </c>
      <c r="AI21" s="3">
        <v>11329.48</v>
      </c>
      <c r="AJ21" s="3">
        <v>11846.7</v>
      </c>
      <c r="AK21" s="3">
        <v>12378.16</v>
      </c>
      <c r="AL21" s="3">
        <v>12922.36</v>
      </c>
      <c r="AM21" s="3">
        <v>13474.26</v>
      </c>
      <c r="AN21" s="3">
        <v>14029.84</v>
      </c>
      <c r="AO21" s="3">
        <v>14584.93</v>
      </c>
      <c r="AP21" s="3">
        <v>15135.83</v>
      </c>
      <c r="AQ21" s="3">
        <v>15680.56</v>
      </c>
      <c r="AR21" s="3">
        <v>16212.95</v>
      </c>
      <c r="AS21" s="3">
        <v>16727.509999999998</v>
      </c>
      <c r="AT21" s="3">
        <v>17217.099999999999</v>
      </c>
      <c r="AU21" s="3">
        <v>17668.89</v>
      </c>
      <c r="AV21" s="3">
        <v>18069.53</v>
      </c>
      <c r="AW21" s="3">
        <v>18403.95</v>
      </c>
      <c r="AX21" s="3">
        <v>18659.13</v>
      </c>
      <c r="AY21" s="3">
        <v>18819.03</v>
      </c>
      <c r="AZ21" s="3">
        <v>18867.919999999998</v>
      </c>
      <c r="BA21" s="3">
        <v>18793.73</v>
      </c>
      <c r="BB21" s="3">
        <v>18588.97</v>
      </c>
      <c r="BC21" s="3">
        <v>18244.650000000001</v>
      </c>
      <c r="BD21" s="3">
        <v>17752.91</v>
      </c>
      <c r="BE21" s="3">
        <v>17075.14</v>
      </c>
      <c r="BF21" s="3">
        <v>16203.66</v>
      </c>
      <c r="BG21" s="3">
        <v>15141.26</v>
      </c>
      <c r="BH21" s="3">
        <v>13901.56</v>
      </c>
      <c r="BI21" s="3">
        <v>12514.04</v>
      </c>
      <c r="BJ21" s="3">
        <v>11025.12</v>
      </c>
      <c r="BK21" s="3">
        <v>9492.1200000000008</v>
      </c>
      <c r="BL21" s="3">
        <v>7973.89</v>
      </c>
      <c r="BM21" s="3">
        <v>6524.36</v>
      </c>
      <c r="BN21" s="3">
        <v>5189.45</v>
      </c>
      <c r="BO21" s="3">
        <v>4004.21</v>
      </c>
      <c r="BP21" s="3">
        <v>3014.94</v>
      </c>
      <c r="BQ21" s="3">
        <v>2194.35</v>
      </c>
      <c r="BR21" s="3">
        <v>1561.82</v>
      </c>
      <c r="BS21" s="3">
        <v>1053.81</v>
      </c>
      <c r="BT21" s="3">
        <v>670.22</v>
      </c>
      <c r="BU21" s="3">
        <v>385.18</v>
      </c>
      <c r="BV21" s="3">
        <v>194.76</v>
      </c>
      <c r="BW21" s="3">
        <v>85.22</v>
      </c>
      <c r="BX21" s="3">
        <v>31.93</v>
      </c>
      <c r="BY21" s="3">
        <v>9.76</v>
      </c>
      <c r="BZ21" s="3">
        <v>2.2400000000000002</v>
      </c>
      <c r="CA21" s="3">
        <v>0.33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3">
        <v>0</v>
      </c>
      <c r="DB21" s="3">
        <v>0</v>
      </c>
      <c r="DC21" s="3">
        <v>0</v>
      </c>
      <c r="DD21" s="3">
        <v>0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FI21" s="3"/>
      <c r="FJ21" s="3"/>
      <c r="FK21" s="3"/>
      <c r="FL21" s="3"/>
      <c r="FM21" s="3"/>
    </row>
    <row r="22" spans="2:169" x14ac:dyDescent="0.25">
      <c r="B22">
        <f t="shared" si="9"/>
        <v>55</v>
      </c>
      <c r="C22">
        <f t="shared" si="10"/>
        <v>19</v>
      </c>
      <c r="D22" t="b">
        <f>OR(AND(B22&gt;=$C$6, C22 &gt;= $C$7), 'One ret age'!$C$5="Retired")</f>
        <v>1</v>
      </c>
      <c r="E22">
        <f>IF(D22, 0, VLOOKUP(B22, Withd!$A$2:$AZ$57, MIN(C22, 50) + 2))</f>
        <v>0</v>
      </c>
      <c r="F22">
        <f>IF(D22, VLOOKUP(B22,Ret!$A$2:$AZ$27, MIN(C22, 50) + 2), 0)</f>
        <v>3.9E-2</v>
      </c>
      <c r="G22">
        <f>VLOOKUP(B22,Mort!$A$2:$E$111,IF('One ret age'!$C$6="M",2,3))</f>
        <v>2.2799999999999999E-3</v>
      </c>
      <c r="H22">
        <f t="shared" si="11"/>
        <v>0.77836777156526415</v>
      </c>
      <c r="I22">
        <f t="shared" si="12"/>
        <v>3.0356343091045301E-2</v>
      </c>
      <c r="K22" s="12">
        <v>254347.3</v>
      </c>
      <c r="L22" s="12">
        <v>18167.66</v>
      </c>
      <c r="O22" s="3"/>
      <c r="P22" s="3"/>
      <c r="Q22" s="3"/>
      <c r="R22" s="3"/>
      <c r="S22" s="3"/>
      <c r="T22" s="3"/>
      <c r="U22" s="3"/>
      <c r="V22" s="3"/>
      <c r="W22" s="3"/>
      <c r="X22" s="3">
        <v>0</v>
      </c>
      <c r="Y22" s="3">
        <v>17405.990000000002</v>
      </c>
      <c r="Z22" s="3">
        <v>18250.39</v>
      </c>
      <c r="AA22" s="3">
        <v>19133.82</v>
      </c>
      <c r="AB22" s="3">
        <v>20055.38</v>
      </c>
      <c r="AC22" s="3">
        <v>21015.39</v>
      </c>
      <c r="AD22" s="3">
        <v>22013.82</v>
      </c>
      <c r="AE22" s="3">
        <v>23054.81</v>
      </c>
      <c r="AF22" s="3">
        <v>24139.67</v>
      </c>
      <c r="AG22" s="3">
        <v>25271</v>
      </c>
      <c r="AH22" s="3">
        <v>10893.86</v>
      </c>
      <c r="AI22" s="3">
        <v>11397.75</v>
      </c>
      <c r="AJ22" s="3">
        <v>11918.09</v>
      </c>
      <c r="AK22" s="3">
        <v>12452.75</v>
      </c>
      <c r="AL22" s="3">
        <v>13000.23</v>
      </c>
      <c r="AM22" s="3">
        <v>13555.46</v>
      </c>
      <c r="AN22" s="3">
        <v>14114.39</v>
      </c>
      <c r="AO22" s="3">
        <v>14672.82</v>
      </c>
      <c r="AP22" s="3">
        <v>15227.04</v>
      </c>
      <c r="AQ22" s="3">
        <v>15775.05</v>
      </c>
      <c r="AR22" s="3">
        <v>16310.66</v>
      </c>
      <c r="AS22" s="3">
        <v>16828.310000000001</v>
      </c>
      <c r="AT22" s="3">
        <v>17320.849999999999</v>
      </c>
      <c r="AU22" s="3">
        <v>17775.36</v>
      </c>
      <c r="AV22" s="3">
        <v>18178.41</v>
      </c>
      <c r="AW22" s="3">
        <v>18514.849999999999</v>
      </c>
      <c r="AX22" s="3">
        <v>18771.57</v>
      </c>
      <c r="AY22" s="3">
        <v>18932.43</v>
      </c>
      <c r="AZ22" s="3">
        <v>18981.62</v>
      </c>
      <c r="BA22" s="3">
        <v>18906.98</v>
      </c>
      <c r="BB22" s="3">
        <v>18700.990000000002</v>
      </c>
      <c r="BC22" s="3">
        <v>18354.59</v>
      </c>
      <c r="BD22" s="3">
        <v>17859.89</v>
      </c>
      <c r="BE22" s="3">
        <v>17178.04</v>
      </c>
      <c r="BF22" s="3">
        <v>16301.3</v>
      </c>
      <c r="BG22" s="3">
        <v>15232.51</v>
      </c>
      <c r="BH22" s="3">
        <v>13985.33</v>
      </c>
      <c r="BI22" s="3">
        <v>12589.45</v>
      </c>
      <c r="BJ22" s="3">
        <v>11091.55</v>
      </c>
      <c r="BK22" s="3">
        <v>9549.32</v>
      </c>
      <c r="BL22" s="3">
        <v>8021.94</v>
      </c>
      <c r="BM22" s="3">
        <v>6563.68</v>
      </c>
      <c r="BN22" s="3">
        <v>5220.7299999999996</v>
      </c>
      <c r="BO22" s="3">
        <v>4028.34</v>
      </c>
      <c r="BP22" s="3">
        <v>3033.11</v>
      </c>
      <c r="BQ22" s="3">
        <v>2207.5700000000002</v>
      </c>
      <c r="BR22" s="3">
        <v>1571.23</v>
      </c>
      <c r="BS22" s="3">
        <v>1060.1600000000001</v>
      </c>
      <c r="BT22" s="3">
        <v>674.26</v>
      </c>
      <c r="BU22" s="3">
        <v>387.5</v>
      </c>
      <c r="BV22" s="3">
        <v>195.94</v>
      </c>
      <c r="BW22" s="3">
        <v>85.73</v>
      </c>
      <c r="BX22" s="3">
        <v>32.130000000000003</v>
      </c>
      <c r="BY22" s="3">
        <v>9.82</v>
      </c>
      <c r="BZ22" s="3">
        <v>2.25</v>
      </c>
      <c r="CA22" s="3">
        <v>0.33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3">
        <v>0</v>
      </c>
      <c r="DB22" s="3">
        <v>0</v>
      </c>
      <c r="DC22" s="3">
        <v>0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FI22" s="3"/>
      <c r="FJ22" s="3"/>
      <c r="FK22" s="3"/>
      <c r="FL22" s="3"/>
      <c r="FM22" s="3"/>
    </row>
    <row r="23" spans="2:169" x14ac:dyDescent="0.25">
      <c r="B23">
        <f t="shared" si="9"/>
        <v>56</v>
      </c>
      <c r="C23">
        <f t="shared" si="10"/>
        <v>20</v>
      </c>
      <c r="D23" t="b">
        <f>OR(AND(B23&gt;=$C$6, C23 &gt;= $C$7), 'One ret age'!$C$5="Retired")</f>
        <v>1</v>
      </c>
      <c r="E23">
        <f>IF(D23, 0, VLOOKUP(B23, Withd!$A$2:$AZ$57, MIN(C23, 50) + 2))</f>
        <v>0</v>
      </c>
      <c r="F23">
        <f>IF(D23, VLOOKUP(B23,Ret!$A$2:$AZ$27, MIN(C23, 50) + 2), 0)</f>
        <v>3.3000000000000002E-2</v>
      </c>
      <c r="G23">
        <f>VLOOKUP(B23,Mort!$A$2:$E$111,IF('One ret age'!$C$6="M",2,3))</f>
        <v>2.49E-3</v>
      </c>
      <c r="H23">
        <f t="shared" si="11"/>
        <v>0.74623674995505007</v>
      </c>
      <c r="I23">
        <f t="shared" si="12"/>
        <v>2.4625812748516652E-2</v>
      </c>
      <c r="K23" s="12">
        <v>243859.62</v>
      </c>
      <c r="L23" s="12">
        <v>17418.54</v>
      </c>
      <c r="O23" s="3"/>
      <c r="P23" s="3"/>
      <c r="Q23" s="3"/>
      <c r="R23" s="3"/>
      <c r="S23" s="3"/>
      <c r="T23" s="3"/>
      <c r="U23" s="3"/>
      <c r="V23" s="3"/>
      <c r="W23" s="3"/>
      <c r="X23" s="3"/>
      <c r="Y23" s="3">
        <v>0</v>
      </c>
      <c r="Z23" s="3">
        <v>18363.32</v>
      </c>
      <c r="AA23" s="3">
        <v>19252.22</v>
      </c>
      <c r="AB23" s="3">
        <v>20179.48</v>
      </c>
      <c r="AC23" s="3">
        <v>21145.43</v>
      </c>
      <c r="AD23" s="3">
        <v>22150.05</v>
      </c>
      <c r="AE23" s="3">
        <v>23197.47</v>
      </c>
      <c r="AF23" s="3">
        <v>24289.040000000001</v>
      </c>
      <c r="AG23" s="3">
        <v>25427.38</v>
      </c>
      <c r="AH23" s="3">
        <v>10961.28</v>
      </c>
      <c r="AI23" s="3">
        <v>11468.28</v>
      </c>
      <c r="AJ23" s="3">
        <v>11991.84</v>
      </c>
      <c r="AK23" s="3">
        <v>12529.81</v>
      </c>
      <c r="AL23" s="3">
        <v>13080.68</v>
      </c>
      <c r="AM23" s="3">
        <v>13639.34</v>
      </c>
      <c r="AN23" s="3">
        <v>14201.73</v>
      </c>
      <c r="AO23" s="3">
        <v>14763.62</v>
      </c>
      <c r="AP23" s="3">
        <v>15321.27</v>
      </c>
      <c r="AQ23" s="3">
        <v>15872.67</v>
      </c>
      <c r="AR23" s="3">
        <v>16411.59</v>
      </c>
      <c r="AS23" s="3">
        <v>16932.439999999999</v>
      </c>
      <c r="AT23" s="3">
        <v>17428.03</v>
      </c>
      <c r="AU23" s="3">
        <v>17885.36</v>
      </c>
      <c r="AV23" s="3">
        <v>18290.900000000001</v>
      </c>
      <c r="AW23" s="3">
        <v>18629.419999999998</v>
      </c>
      <c r="AX23" s="3">
        <v>18887.73</v>
      </c>
      <c r="AY23" s="3">
        <v>19049.59</v>
      </c>
      <c r="AZ23" s="3">
        <v>19099.080000000002</v>
      </c>
      <c r="BA23" s="3">
        <v>19023.98</v>
      </c>
      <c r="BB23" s="3">
        <v>18816.71</v>
      </c>
      <c r="BC23" s="3">
        <v>18468.169999999998</v>
      </c>
      <c r="BD23" s="3">
        <v>17970.41</v>
      </c>
      <c r="BE23" s="3">
        <v>17284.34</v>
      </c>
      <c r="BF23" s="3">
        <v>16402.18</v>
      </c>
      <c r="BG23" s="3">
        <v>15326.77</v>
      </c>
      <c r="BH23" s="3">
        <v>14071.88</v>
      </c>
      <c r="BI23" s="3">
        <v>12667.35</v>
      </c>
      <c r="BJ23" s="3">
        <v>11160.19</v>
      </c>
      <c r="BK23" s="3">
        <v>9608.41</v>
      </c>
      <c r="BL23" s="3">
        <v>8071.58</v>
      </c>
      <c r="BM23" s="3">
        <v>6604.3</v>
      </c>
      <c r="BN23" s="3">
        <v>5253.03</v>
      </c>
      <c r="BO23" s="3">
        <v>4053.27</v>
      </c>
      <c r="BP23" s="3">
        <v>3051.88</v>
      </c>
      <c r="BQ23" s="3">
        <v>2221.23</v>
      </c>
      <c r="BR23" s="3">
        <v>1580.95</v>
      </c>
      <c r="BS23" s="3">
        <v>1066.72</v>
      </c>
      <c r="BT23" s="3">
        <v>678.43</v>
      </c>
      <c r="BU23" s="3">
        <v>389.9</v>
      </c>
      <c r="BV23" s="3">
        <v>197.15</v>
      </c>
      <c r="BW23" s="3">
        <v>86.26</v>
      </c>
      <c r="BX23" s="3">
        <v>32.32</v>
      </c>
      <c r="BY23" s="3">
        <v>9.8800000000000008</v>
      </c>
      <c r="BZ23" s="3">
        <v>2.2599999999999998</v>
      </c>
      <c r="CA23" s="3">
        <v>0.33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3">
        <v>0</v>
      </c>
      <c r="DB23" s="3">
        <v>0</v>
      </c>
      <c r="DC23" s="3">
        <v>0</v>
      </c>
      <c r="DD23" s="3">
        <v>0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FI23" s="3"/>
      <c r="FJ23" s="3"/>
      <c r="FK23" s="3"/>
      <c r="FL23" s="3"/>
      <c r="FM23" s="3"/>
    </row>
    <row r="24" spans="2:169" x14ac:dyDescent="0.25">
      <c r="B24">
        <f t="shared" si="9"/>
        <v>57</v>
      </c>
      <c r="C24">
        <f t="shared" si="10"/>
        <v>21</v>
      </c>
      <c r="D24" t="b">
        <f>OR(AND(B24&gt;=$C$6, C24 &gt;= $C$7), 'One ret age'!$C$5="Retired")</f>
        <v>1</v>
      </c>
      <c r="E24">
        <f>IF(D24, 0, VLOOKUP(B24, Withd!$A$2:$AZ$57, MIN(C24, 50) + 2))</f>
        <v>0</v>
      </c>
      <c r="F24">
        <f>IF(D24, VLOOKUP(B24,Ret!$A$2:$AZ$27, MIN(C24, 50) + 2), 0)</f>
        <v>4.3999999999999997E-2</v>
      </c>
      <c r="G24">
        <f>VLOOKUP(B24,Mort!$A$2:$E$111,IF('One ret age'!$C$6="M",2,3))</f>
        <v>2.65E-3</v>
      </c>
      <c r="H24">
        <f t="shared" si="11"/>
        <v>0.71975280769914529</v>
      </c>
      <c r="I24">
        <f t="shared" si="12"/>
        <v>3.1669123538762389E-2</v>
      </c>
      <c r="K24" s="12">
        <v>233132.93</v>
      </c>
      <c r="L24" s="12">
        <v>16652.349999999999</v>
      </c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>
        <v>0</v>
      </c>
      <c r="AA24" s="3">
        <v>19373.3</v>
      </c>
      <c r="AB24" s="3">
        <v>20306.400000000001</v>
      </c>
      <c r="AC24" s="3">
        <v>21278.42</v>
      </c>
      <c r="AD24" s="3">
        <v>22289.35</v>
      </c>
      <c r="AE24" s="3">
        <v>23343.37</v>
      </c>
      <c r="AF24" s="3">
        <v>24441.81</v>
      </c>
      <c r="AG24" s="3">
        <v>25587.3</v>
      </c>
      <c r="AH24" s="3">
        <v>11030.22</v>
      </c>
      <c r="AI24" s="3">
        <v>11540.41</v>
      </c>
      <c r="AJ24" s="3">
        <v>12067.26</v>
      </c>
      <c r="AK24" s="3">
        <v>12608.61</v>
      </c>
      <c r="AL24" s="3">
        <v>13162.95</v>
      </c>
      <c r="AM24" s="3">
        <v>13725.12</v>
      </c>
      <c r="AN24" s="3">
        <v>14291.05</v>
      </c>
      <c r="AO24" s="3">
        <v>14856.47</v>
      </c>
      <c r="AP24" s="3">
        <v>15417.63</v>
      </c>
      <c r="AQ24" s="3">
        <v>15972.5</v>
      </c>
      <c r="AR24" s="3">
        <v>16514.8</v>
      </c>
      <c r="AS24" s="3">
        <v>17038.939999999999</v>
      </c>
      <c r="AT24" s="3">
        <v>17537.64</v>
      </c>
      <c r="AU24" s="3">
        <v>17997.84</v>
      </c>
      <c r="AV24" s="3">
        <v>18405.939999999999</v>
      </c>
      <c r="AW24" s="3">
        <v>18746.59</v>
      </c>
      <c r="AX24" s="3">
        <v>19006.52</v>
      </c>
      <c r="AY24" s="3">
        <v>19169.400000000001</v>
      </c>
      <c r="AZ24" s="3">
        <v>19219.2</v>
      </c>
      <c r="BA24" s="3">
        <v>19143.63</v>
      </c>
      <c r="BB24" s="3">
        <v>18935.05</v>
      </c>
      <c r="BC24" s="3">
        <v>18584.32</v>
      </c>
      <c r="BD24" s="3">
        <v>18083.43</v>
      </c>
      <c r="BE24" s="3">
        <v>17393.04</v>
      </c>
      <c r="BF24" s="3">
        <v>16505.34</v>
      </c>
      <c r="BG24" s="3">
        <v>15423.16</v>
      </c>
      <c r="BH24" s="3">
        <v>14160.38</v>
      </c>
      <c r="BI24" s="3">
        <v>12747.02</v>
      </c>
      <c r="BJ24" s="3">
        <v>11230.38</v>
      </c>
      <c r="BK24" s="3">
        <v>9668.84</v>
      </c>
      <c r="BL24" s="3">
        <v>8122.35</v>
      </c>
      <c r="BM24" s="3">
        <v>6645.83</v>
      </c>
      <c r="BN24" s="3">
        <v>5286.07</v>
      </c>
      <c r="BO24" s="3">
        <v>4078.76</v>
      </c>
      <c r="BP24" s="3">
        <v>3071.08</v>
      </c>
      <c r="BQ24" s="3">
        <v>2235.1999999999998</v>
      </c>
      <c r="BR24" s="3">
        <v>1590.89</v>
      </c>
      <c r="BS24" s="3">
        <v>1073.43</v>
      </c>
      <c r="BT24" s="3">
        <v>682.7</v>
      </c>
      <c r="BU24" s="3">
        <v>392.35</v>
      </c>
      <c r="BV24" s="3">
        <v>198.39</v>
      </c>
      <c r="BW24" s="3">
        <v>86.8</v>
      </c>
      <c r="BX24" s="3">
        <v>32.53</v>
      </c>
      <c r="BY24" s="3">
        <v>9.94</v>
      </c>
      <c r="BZ24" s="3">
        <v>2.2799999999999998</v>
      </c>
      <c r="CA24" s="3">
        <v>0.33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3">
        <v>0</v>
      </c>
      <c r="DB24" s="3">
        <v>0</v>
      </c>
      <c r="DC24" s="3">
        <v>0</v>
      </c>
      <c r="DD24" s="3">
        <v>0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FI24" s="3"/>
      <c r="FJ24" s="3"/>
      <c r="FK24" s="3"/>
      <c r="FL24" s="3"/>
      <c r="FM24" s="3"/>
    </row>
    <row r="25" spans="2:169" x14ac:dyDescent="0.25">
      <c r="B25">
        <f t="shared" si="9"/>
        <v>58</v>
      </c>
      <c r="C25">
        <f t="shared" si="10"/>
        <v>22</v>
      </c>
      <c r="D25" t="b">
        <f>OR(AND(B25&gt;=$C$6, C25 &gt;= $C$7), 'One ret age'!$C$5="Retired")</f>
        <v>1</v>
      </c>
      <c r="E25">
        <f>IF(D25, 0, VLOOKUP(B25, Withd!$A$2:$AZ$57, MIN(C25, 50) + 2))</f>
        <v>0</v>
      </c>
      <c r="F25">
        <f>IF(D25, VLOOKUP(B25,Ret!$A$2:$AZ$27, MIN(C25, 50) + 2), 0)</f>
        <v>5.1999999999999998E-2</v>
      </c>
      <c r="G25">
        <f>VLOOKUP(B25,Mort!$A$2:$E$111,IF('One ret age'!$C$6="M",2,3))</f>
        <v>2.8E-3</v>
      </c>
      <c r="H25">
        <f t="shared" si="11"/>
        <v>0.68617633921998011</v>
      </c>
      <c r="I25">
        <f t="shared" si="12"/>
        <v>3.5681169639438966E-2</v>
      </c>
      <c r="K25" s="12">
        <v>222189.46</v>
      </c>
      <c r="L25" s="12">
        <v>15870.68</v>
      </c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>
        <v>0</v>
      </c>
      <c r="AB25" s="3">
        <v>20438.84</v>
      </c>
      <c r="AC25" s="3">
        <v>21417.200000000001</v>
      </c>
      <c r="AD25" s="3">
        <v>22434.73</v>
      </c>
      <c r="AE25" s="3">
        <v>23495.62</v>
      </c>
      <c r="AF25" s="3">
        <v>24601.22</v>
      </c>
      <c r="AG25" s="3">
        <v>25754.18</v>
      </c>
      <c r="AH25" s="3">
        <v>11102.16</v>
      </c>
      <c r="AI25" s="3">
        <v>11615.68</v>
      </c>
      <c r="AJ25" s="3">
        <v>12145.97</v>
      </c>
      <c r="AK25" s="3">
        <v>12690.85</v>
      </c>
      <c r="AL25" s="3">
        <v>13248.8</v>
      </c>
      <c r="AM25" s="3">
        <v>13814.64</v>
      </c>
      <c r="AN25" s="3">
        <v>14384.26</v>
      </c>
      <c r="AO25" s="3">
        <v>14953.37</v>
      </c>
      <c r="AP25" s="3">
        <v>15518.19</v>
      </c>
      <c r="AQ25" s="3">
        <v>16076.67</v>
      </c>
      <c r="AR25" s="3">
        <v>16622.52</v>
      </c>
      <c r="AS25" s="3">
        <v>17150.07</v>
      </c>
      <c r="AT25" s="3">
        <v>17652.03</v>
      </c>
      <c r="AU25" s="3">
        <v>18115.23</v>
      </c>
      <c r="AV25" s="3">
        <v>18525.990000000002</v>
      </c>
      <c r="AW25" s="3">
        <v>18868.86</v>
      </c>
      <c r="AX25" s="3">
        <v>19130.490000000002</v>
      </c>
      <c r="AY25" s="3">
        <v>19294.419999999998</v>
      </c>
      <c r="AZ25" s="3">
        <v>19344.560000000001</v>
      </c>
      <c r="BA25" s="3">
        <v>19268.490000000002</v>
      </c>
      <c r="BB25" s="3">
        <v>19058.55</v>
      </c>
      <c r="BC25" s="3">
        <v>18705.53</v>
      </c>
      <c r="BD25" s="3">
        <v>18201.37</v>
      </c>
      <c r="BE25" s="3">
        <v>17506.490000000002</v>
      </c>
      <c r="BF25" s="3">
        <v>16612.990000000002</v>
      </c>
      <c r="BG25" s="3">
        <v>15523.75</v>
      </c>
      <c r="BH25" s="3">
        <v>14252.74</v>
      </c>
      <c r="BI25" s="3">
        <v>12830.16</v>
      </c>
      <c r="BJ25" s="3">
        <v>11303.63</v>
      </c>
      <c r="BK25" s="3">
        <v>9731.9</v>
      </c>
      <c r="BL25" s="3">
        <v>8175.33</v>
      </c>
      <c r="BM25" s="3">
        <v>6689.18</v>
      </c>
      <c r="BN25" s="3">
        <v>5320.55</v>
      </c>
      <c r="BO25" s="3">
        <v>4105.37</v>
      </c>
      <c r="BP25" s="3">
        <v>3091.11</v>
      </c>
      <c r="BQ25" s="3">
        <v>2249.7800000000002</v>
      </c>
      <c r="BR25" s="3">
        <v>1601.27</v>
      </c>
      <c r="BS25" s="3">
        <v>1080.43</v>
      </c>
      <c r="BT25" s="3">
        <v>687.15</v>
      </c>
      <c r="BU25" s="3">
        <v>394.91</v>
      </c>
      <c r="BV25" s="3">
        <v>199.68</v>
      </c>
      <c r="BW25" s="3">
        <v>87.37</v>
      </c>
      <c r="BX25" s="3">
        <v>32.74</v>
      </c>
      <c r="BY25" s="3">
        <v>10</v>
      </c>
      <c r="BZ25" s="3">
        <v>2.29</v>
      </c>
      <c r="CA25" s="3">
        <v>0.33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3">
        <v>0</v>
      </c>
      <c r="DB25" s="3">
        <v>0</v>
      </c>
      <c r="DC25" s="3">
        <v>0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FI25" s="3"/>
      <c r="FJ25" s="3"/>
      <c r="FK25" s="3"/>
      <c r="FL25" s="3"/>
      <c r="FM25" s="3"/>
    </row>
    <row r="26" spans="2:169" x14ac:dyDescent="0.25">
      <c r="B26">
        <f t="shared" si="9"/>
        <v>59</v>
      </c>
      <c r="C26">
        <f t="shared" si="10"/>
        <v>23</v>
      </c>
      <c r="D26" t="b">
        <f>OR(AND(B26&gt;=$C$6, C26 &gt;= $C$7), 'One ret age'!$C$5="Retired")</f>
        <v>1</v>
      </c>
      <c r="E26">
        <f>IF(D26, 0, VLOOKUP(B26, Withd!$A$2:$AZ$57, MIN(C26, 50) + 2))</f>
        <v>0</v>
      </c>
      <c r="F26">
        <f>IF(D26, VLOOKUP(B26,Ret!$A$2:$AZ$27, MIN(C26, 50) + 2), 0)</f>
        <v>6.6000000000000003E-2</v>
      </c>
      <c r="G26">
        <f>VLOOKUP(B26,Mort!$A$2:$E$111,IF('One ret age'!$C$6="M",2,3))</f>
        <v>2.9399999999999999E-3</v>
      </c>
      <c r="H26">
        <f t="shared" si="11"/>
        <v>0.64857387583072512</v>
      </c>
      <c r="I26">
        <f t="shared" si="12"/>
        <v>4.2805875804827857E-2</v>
      </c>
      <c r="K26" s="12">
        <v>211029.92</v>
      </c>
      <c r="L26" s="12">
        <v>15073.57</v>
      </c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>
        <v>0</v>
      </c>
      <c r="AC26" s="3">
        <v>21562.97</v>
      </c>
      <c r="AD26" s="3">
        <v>22587.42</v>
      </c>
      <c r="AE26" s="3">
        <v>23655.53</v>
      </c>
      <c r="AF26" s="3">
        <v>24768.66</v>
      </c>
      <c r="AG26" s="3">
        <v>25929.47</v>
      </c>
      <c r="AH26" s="3">
        <v>11177.72</v>
      </c>
      <c r="AI26" s="3">
        <v>11694.74</v>
      </c>
      <c r="AJ26" s="3">
        <v>12228.63</v>
      </c>
      <c r="AK26" s="3">
        <v>12777.22</v>
      </c>
      <c r="AL26" s="3">
        <v>13338.97</v>
      </c>
      <c r="AM26" s="3">
        <v>13908.66</v>
      </c>
      <c r="AN26" s="3">
        <v>14482.16</v>
      </c>
      <c r="AO26" s="3">
        <v>15055.14</v>
      </c>
      <c r="AP26" s="3">
        <v>15623.8</v>
      </c>
      <c r="AQ26" s="3">
        <v>16186.09</v>
      </c>
      <c r="AR26" s="3">
        <v>16735.650000000001</v>
      </c>
      <c r="AS26" s="3">
        <v>17266.79</v>
      </c>
      <c r="AT26" s="3">
        <v>17772.169999999998</v>
      </c>
      <c r="AU26" s="3">
        <v>18238.52</v>
      </c>
      <c r="AV26" s="3">
        <v>18652.080000000002</v>
      </c>
      <c r="AW26" s="3">
        <v>18997.28</v>
      </c>
      <c r="AX26" s="3">
        <v>19260.689999999999</v>
      </c>
      <c r="AY26" s="3">
        <v>19425.740000000002</v>
      </c>
      <c r="AZ26" s="3">
        <v>19476.21</v>
      </c>
      <c r="BA26" s="3">
        <v>19399.63</v>
      </c>
      <c r="BB26" s="3">
        <v>19188.27</v>
      </c>
      <c r="BC26" s="3">
        <v>18832.84</v>
      </c>
      <c r="BD26" s="3">
        <v>18325.25</v>
      </c>
      <c r="BE26" s="3">
        <v>17625.64</v>
      </c>
      <c r="BF26" s="3">
        <v>16726.060000000001</v>
      </c>
      <c r="BG26" s="3">
        <v>15629.41</v>
      </c>
      <c r="BH26" s="3">
        <v>14349.74</v>
      </c>
      <c r="BI26" s="3">
        <v>12917.48</v>
      </c>
      <c r="BJ26" s="3">
        <v>11380.56</v>
      </c>
      <c r="BK26" s="3">
        <v>9798.14</v>
      </c>
      <c r="BL26" s="3">
        <v>8230.9699999999993</v>
      </c>
      <c r="BM26" s="3">
        <v>6734.71</v>
      </c>
      <c r="BN26" s="3">
        <v>5356.76</v>
      </c>
      <c r="BO26" s="3">
        <v>4133.3100000000004</v>
      </c>
      <c r="BP26" s="3">
        <v>3112.14</v>
      </c>
      <c r="BQ26" s="3">
        <v>2265.09</v>
      </c>
      <c r="BR26" s="3">
        <v>1612.17</v>
      </c>
      <c r="BS26" s="3">
        <v>1087.79</v>
      </c>
      <c r="BT26" s="3">
        <v>691.83</v>
      </c>
      <c r="BU26" s="3">
        <v>397.59</v>
      </c>
      <c r="BV26" s="3">
        <v>201.04</v>
      </c>
      <c r="BW26" s="3">
        <v>87.96</v>
      </c>
      <c r="BX26" s="3">
        <v>32.96</v>
      </c>
      <c r="BY26" s="3">
        <v>10.07</v>
      </c>
      <c r="BZ26" s="3">
        <v>2.31</v>
      </c>
      <c r="CA26" s="3">
        <v>0.34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3">
        <v>0</v>
      </c>
      <c r="DB26" s="3">
        <v>0</v>
      </c>
      <c r="DC26" s="3">
        <v>0</v>
      </c>
      <c r="DD26" s="3">
        <v>0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FI26" s="3"/>
      <c r="FJ26" s="3"/>
      <c r="FK26" s="3"/>
      <c r="FL26" s="3"/>
      <c r="FM26" s="3"/>
    </row>
    <row r="27" spans="2:169" x14ac:dyDescent="0.25">
      <c r="B27">
        <f t="shared" si="9"/>
        <v>60</v>
      </c>
      <c r="C27">
        <f t="shared" si="10"/>
        <v>24</v>
      </c>
      <c r="D27" t="b">
        <f>OR(AND(B27&gt;=$C$6, C27 &gt;= $C$7), 'One ret age'!$C$5="Retired")</f>
        <v>1</v>
      </c>
      <c r="E27">
        <f>IF(D27, 0, VLOOKUP(B27, Withd!$A$2:$AZ$57, MIN(C27, 50) + 2))</f>
        <v>0</v>
      </c>
      <c r="F27">
        <f>IF(D27, VLOOKUP(B27,Ret!$A$2:$AZ$27, MIN(C27, 50) + 2), 0)</f>
        <v>0.114</v>
      </c>
      <c r="G27">
        <f>VLOOKUP(B27,Mort!$A$2:$E$111,IF('One ret age'!$C$6="M",2,3))</f>
        <v>3.0799999999999998E-3</v>
      </c>
      <c r="H27">
        <f t="shared" si="11"/>
        <v>0.60386119283095485</v>
      </c>
      <c r="I27">
        <f t="shared" si="12"/>
        <v>6.884017598272886E-2</v>
      </c>
      <c r="K27" s="12">
        <v>199655.27</v>
      </c>
      <c r="L27" s="12">
        <v>14261.09</v>
      </c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>
        <v>0</v>
      </c>
      <c r="AD27" s="3">
        <v>22748.94</v>
      </c>
      <c r="AE27" s="3">
        <v>23824.69</v>
      </c>
      <c r="AF27" s="3">
        <v>24945.77</v>
      </c>
      <c r="AG27" s="3">
        <v>26114.880000000001</v>
      </c>
      <c r="AH27" s="3">
        <v>11257.65</v>
      </c>
      <c r="AI27" s="3">
        <v>11778.36</v>
      </c>
      <c r="AJ27" s="3">
        <v>12316.08</v>
      </c>
      <c r="AK27" s="3">
        <v>12868.59</v>
      </c>
      <c r="AL27" s="3">
        <v>13434.36</v>
      </c>
      <c r="AM27" s="3">
        <v>14008.12</v>
      </c>
      <c r="AN27" s="3">
        <v>14585.71</v>
      </c>
      <c r="AO27" s="3">
        <v>15162.8</v>
      </c>
      <c r="AP27" s="3">
        <v>15735.53</v>
      </c>
      <c r="AQ27" s="3">
        <v>16301.83</v>
      </c>
      <c r="AR27" s="3">
        <v>16855.32</v>
      </c>
      <c r="AS27" s="3">
        <v>17390.259999999998</v>
      </c>
      <c r="AT27" s="3">
        <v>17899.25</v>
      </c>
      <c r="AU27" s="3">
        <v>18368.939999999999</v>
      </c>
      <c r="AV27" s="3">
        <v>18785.45</v>
      </c>
      <c r="AW27" s="3">
        <v>19133.13</v>
      </c>
      <c r="AX27" s="3">
        <v>19398.419999999998</v>
      </c>
      <c r="AY27" s="3">
        <v>19564.650000000001</v>
      </c>
      <c r="AZ27" s="3">
        <v>19615.48</v>
      </c>
      <c r="BA27" s="3">
        <v>19538.349999999999</v>
      </c>
      <c r="BB27" s="3">
        <v>19325.48</v>
      </c>
      <c r="BC27" s="3">
        <v>18967.509999999998</v>
      </c>
      <c r="BD27" s="3">
        <v>18456.29</v>
      </c>
      <c r="BE27" s="3">
        <v>17751.669999999998</v>
      </c>
      <c r="BF27" s="3">
        <v>16845.66</v>
      </c>
      <c r="BG27" s="3">
        <v>15741.17</v>
      </c>
      <c r="BH27" s="3">
        <v>14452.35</v>
      </c>
      <c r="BI27" s="3">
        <v>13009.85</v>
      </c>
      <c r="BJ27" s="3">
        <v>11461.94</v>
      </c>
      <c r="BK27" s="3">
        <v>9868.2000000000007</v>
      </c>
      <c r="BL27" s="3">
        <v>8289.82</v>
      </c>
      <c r="BM27" s="3">
        <v>6782.86</v>
      </c>
      <c r="BN27" s="3">
        <v>5395.06</v>
      </c>
      <c r="BO27" s="3">
        <v>4162.8599999999997</v>
      </c>
      <c r="BP27" s="3">
        <v>3134.4</v>
      </c>
      <c r="BQ27" s="3">
        <v>2281.29</v>
      </c>
      <c r="BR27" s="3">
        <v>1623.7</v>
      </c>
      <c r="BS27" s="3">
        <v>1095.57</v>
      </c>
      <c r="BT27" s="3">
        <v>696.78</v>
      </c>
      <c r="BU27" s="3">
        <v>400.44</v>
      </c>
      <c r="BV27" s="3">
        <v>202.48</v>
      </c>
      <c r="BW27" s="3">
        <v>88.59</v>
      </c>
      <c r="BX27" s="3">
        <v>33.200000000000003</v>
      </c>
      <c r="BY27" s="3">
        <v>10.14</v>
      </c>
      <c r="BZ27" s="3">
        <v>2.33</v>
      </c>
      <c r="CA27" s="3">
        <v>0.34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FI27" s="3"/>
      <c r="FJ27" s="3"/>
      <c r="FK27" s="3"/>
      <c r="FL27" s="3"/>
      <c r="FM27" s="3"/>
    </row>
    <row r="28" spans="2:169" x14ac:dyDescent="0.25">
      <c r="B28">
        <f t="shared" si="9"/>
        <v>61</v>
      </c>
      <c r="C28">
        <f t="shared" si="10"/>
        <v>25</v>
      </c>
      <c r="D28" t="b">
        <f>OR(AND(B28&gt;=$C$6, C28 &gt;= $C$7), 'One ret age'!$C$5="Retired")</f>
        <v>1</v>
      </c>
      <c r="E28">
        <f>IF(D28, 0, VLOOKUP(B28, Withd!$A$2:$AZ$57, MIN(C28, 50) + 2))</f>
        <v>0</v>
      </c>
      <c r="F28">
        <f>IF(D28, VLOOKUP(B28,Ret!$A$2:$AZ$27, MIN(C28, 50) + 2), 0)</f>
        <v>0.14899999999999999</v>
      </c>
      <c r="G28">
        <f>VLOOKUP(B28,Mort!$A$2:$E$111,IF('One ret age'!$C$6="M",2,3))</f>
        <v>3.2799999999999999E-3</v>
      </c>
      <c r="H28">
        <f t="shared" si="11"/>
        <v>0.53316112437430663</v>
      </c>
      <c r="I28">
        <f t="shared" si="12"/>
        <v>7.944100753177169E-2</v>
      </c>
      <c r="K28" s="12">
        <v>188028.05</v>
      </c>
      <c r="L28" s="12">
        <v>13430.58</v>
      </c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>
        <v>0</v>
      </c>
      <c r="AE28" s="3">
        <v>24000.13</v>
      </c>
      <c r="AF28" s="3">
        <v>25129.47</v>
      </c>
      <c r="AG28" s="3">
        <v>26307.19</v>
      </c>
      <c r="AH28" s="3">
        <v>11340.55</v>
      </c>
      <c r="AI28" s="3">
        <v>11865.1</v>
      </c>
      <c r="AJ28" s="3">
        <v>12406.77</v>
      </c>
      <c r="AK28" s="3">
        <v>12963.35</v>
      </c>
      <c r="AL28" s="3">
        <v>13533.28</v>
      </c>
      <c r="AM28" s="3">
        <v>14111.28</v>
      </c>
      <c r="AN28" s="3">
        <v>14693.12</v>
      </c>
      <c r="AO28" s="3">
        <v>15274.46</v>
      </c>
      <c r="AP28" s="3">
        <v>15851.4</v>
      </c>
      <c r="AQ28" s="3">
        <v>16421.88</v>
      </c>
      <c r="AR28" s="3">
        <v>16979.439999999999</v>
      </c>
      <c r="AS28" s="3">
        <v>17518.32</v>
      </c>
      <c r="AT28" s="3">
        <v>18031.060000000001</v>
      </c>
      <c r="AU28" s="3">
        <v>18504.21</v>
      </c>
      <c r="AV28" s="3">
        <v>18923.79</v>
      </c>
      <c r="AW28" s="3">
        <v>19274.02</v>
      </c>
      <c r="AX28" s="3">
        <v>19541.259999999998</v>
      </c>
      <c r="AY28" s="3">
        <v>19708.72</v>
      </c>
      <c r="AZ28" s="3">
        <v>19759.93</v>
      </c>
      <c r="BA28" s="3">
        <v>19682.23</v>
      </c>
      <c r="BB28" s="3">
        <v>19467.79</v>
      </c>
      <c r="BC28" s="3">
        <v>19107.189999999999</v>
      </c>
      <c r="BD28" s="3">
        <v>18592.2</v>
      </c>
      <c r="BE28" s="3">
        <v>17882.39</v>
      </c>
      <c r="BF28" s="3">
        <v>16969.71</v>
      </c>
      <c r="BG28" s="3">
        <v>15857.09</v>
      </c>
      <c r="BH28" s="3">
        <v>14558.78</v>
      </c>
      <c r="BI28" s="3">
        <v>13105.65</v>
      </c>
      <c r="BJ28" s="3">
        <v>11546.34</v>
      </c>
      <c r="BK28" s="3">
        <v>9940.8700000000008</v>
      </c>
      <c r="BL28" s="3">
        <v>8350.8700000000008</v>
      </c>
      <c r="BM28" s="3">
        <v>6832.81</v>
      </c>
      <c r="BN28" s="3">
        <v>5434.79</v>
      </c>
      <c r="BO28" s="3">
        <v>4193.5200000000004</v>
      </c>
      <c r="BP28" s="3">
        <v>3157.48</v>
      </c>
      <c r="BQ28" s="3">
        <v>2298.09</v>
      </c>
      <c r="BR28" s="3">
        <v>1635.65</v>
      </c>
      <c r="BS28" s="3">
        <v>1103.6300000000001</v>
      </c>
      <c r="BT28" s="3">
        <v>701.91</v>
      </c>
      <c r="BU28" s="3">
        <v>403.39</v>
      </c>
      <c r="BV28" s="3">
        <v>203.97</v>
      </c>
      <c r="BW28" s="3">
        <v>89.25</v>
      </c>
      <c r="BX28" s="3">
        <v>33.44</v>
      </c>
      <c r="BY28" s="3">
        <v>10.220000000000001</v>
      </c>
      <c r="BZ28" s="3">
        <v>2.34</v>
      </c>
      <c r="CA28" s="3">
        <v>0.34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3">
        <v>0</v>
      </c>
      <c r="DB28" s="3">
        <v>0</v>
      </c>
      <c r="DC28" s="3">
        <v>0</v>
      </c>
      <c r="DD28" s="3">
        <v>0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FI28" s="3"/>
      <c r="FJ28" s="3"/>
      <c r="FK28" s="3"/>
      <c r="FL28" s="3"/>
      <c r="FM28" s="3"/>
    </row>
    <row r="29" spans="2:169" x14ac:dyDescent="0.25">
      <c r="B29">
        <f t="shared" si="9"/>
        <v>62</v>
      </c>
      <c r="C29">
        <f t="shared" si="10"/>
        <v>26</v>
      </c>
      <c r="D29" t="b">
        <f>OR(AND(B29&gt;=$C$6, C29 &gt;= $C$7), 'One ret age'!$C$5="Retired")</f>
        <v>1</v>
      </c>
      <c r="E29">
        <f>IF(D29, 0, VLOOKUP(B29, Withd!$A$2:$AZ$57, MIN(C29, 50) + 2))</f>
        <v>0</v>
      </c>
      <c r="F29">
        <f>IF(D29, VLOOKUP(B29,Ret!$A$2:$AZ$27, MIN(C29, 50) + 2), 0)</f>
        <v>0.255</v>
      </c>
      <c r="G29">
        <f>VLOOKUP(B29,Mort!$A$2:$E$111,IF('One ret age'!$C$6="M",2,3))</f>
        <v>3.47E-3</v>
      </c>
      <c r="H29">
        <f t="shared" si="11"/>
        <v>0.45197134835458724</v>
      </c>
      <c r="I29">
        <f t="shared" si="12"/>
        <v>0.11525269383041975</v>
      </c>
      <c r="K29" s="12">
        <v>176139.7</v>
      </c>
      <c r="L29" s="12">
        <v>12581.41</v>
      </c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>
        <v>0</v>
      </c>
      <c r="AF29" s="3">
        <v>25320.13</v>
      </c>
      <c r="AG29" s="3">
        <v>26506.78</v>
      </c>
      <c r="AH29" s="3">
        <v>11426.59</v>
      </c>
      <c r="AI29" s="3">
        <v>11955.12</v>
      </c>
      <c r="AJ29" s="3">
        <v>12500.9</v>
      </c>
      <c r="AK29" s="3">
        <v>13061.7</v>
      </c>
      <c r="AL29" s="3">
        <v>13635.96</v>
      </c>
      <c r="AM29" s="3">
        <v>14218.34</v>
      </c>
      <c r="AN29" s="3">
        <v>14804.6</v>
      </c>
      <c r="AO29" s="3">
        <v>15390.34</v>
      </c>
      <c r="AP29" s="3">
        <v>15971.67</v>
      </c>
      <c r="AQ29" s="3">
        <v>16546.47</v>
      </c>
      <c r="AR29" s="3">
        <v>17108.27</v>
      </c>
      <c r="AS29" s="3">
        <v>17651.240000000002</v>
      </c>
      <c r="AT29" s="3">
        <v>18167.86</v>
      </c>
      <c r="AU29" s="3">
        <v>18644.599999999999</v>
      </c>
      <c r="AV29" s="3">
        <v>19067.36</v>
      </c>
      <c r="AW29" s="3">
        <v>19420.25</v>
      </c>
      <c r="AX29" s="3">
        <v>19689.53</v>
      </c>
      <c r="AY29" s="3">
        <v>19858.25</v>
      </c>
      <c r="AZ29" s="3">
        <v>19909.849999999999</v>
      </c>
      <c r="BA29" s="3">
        <v>19831.560000000001</v>
      </c>
      <c r="BB29" s="3">
        <v>19615.490000000002</v>
      </c>
      <c r="BC29" s="3">
        <v>19252.150000000001</v>
      </c>
      <c r="BD29" s="3">
        <v>18733.259999999998</v>
      </c>
      <c r="BE29" s="3">
        <v>18018.07</v>
      </c>
      <c r="BF29" s="3">
        <v>17098.46</v>
      </c>
      <c r="BG29" s="3">
        <v>15977.4</v>
      </c>
      <c r="BH29" s="3">
        <v>14669.24</v>
      </c>
      <c r="BI29" s="3">
        <v>13205.09</v>
      </c>
      <c r="BJ29" s="3">
        <v>11633.95</v>
      </c>
      <c r="BK29" s="3">
        <v>10016.290000000001</v>
      </c>
      <c r="BL29" s="3">
        <v>8414.23</v>
      </c>
      <c r="BM29" s="3">
        <v>6884.65</v>
      </c>
      <c r="BN29" s="3">
        <v>5476.03</v>
      </c>
      <c r="BO29" s="3">
        <v>4225.33</v>
      </c>
      <c r="BP29" s="3">
        <v>3181.44</v>
      </c>
      <c r="BQ29" s="3">
        <v>2315.52</v>
      </c>
      <c r="BR29" s="3">
        <v>1648.06</v>
      </c>
      <c r="BS29" s="3">
        <v>1112.01</v>
      </c>
      <c r="BT29" s="3">
        <v>707.23</v>
      </c>
      <c r="BU29" s="3">
        <v>406.45</v>
      </c>
      <c r="BV29" s="3">
        <v>205.52</v>
      </c>
      <c r="BW29" s="3">
        <v>89.92</v>
      </c>
      <c r="BX29" s="3">
        <v>33.700000000000003</v>
      </c>
      <c r="BY29" s="3">
        <v>10.3</v>
      </c>
      <c r="BZ29" s="3">
        <v>2.36</v>
      </c>
      <c r="CA29" s="3">
        <v>0.34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3">
        <v>0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FI29" s="3"/>
      <c r="FJ29" s="3"/>
      <c r="FK29" s="3"/>
      <c r="FL29" s="3"/>
      <c r="FM29" s="3"/>
    </row>
    <row r="30" spans="2:169" x14ac:dyDescent="0.25">
      <c r="B30">
        <f t="shared" si="9"/>
        <v>63</v>
      </c>
      <c r="C30">
        <f t="shared" si="10"/>
        <v>27</v>
      </c>
      <c r="D30" t="b">
        <f>OR(AND(B30&gt;=$C$6, C30 &gt;= $C$7), 'One ret age'!$C$5="Retired")</f>
        <v>1</v>
      </c>
      <c r="E30">
        <f>IF(D30, 0, VLOOKUP(B30, Withd!$A$2:$AZ$57, MIN(C30, 50) + 2))</f>
        <v>0</v>
      </c>
      <c r="F30">
        <f>IF(D30, VLOOKUP(B30,Ret!$A$2:$AZ$27, MIN(C30, 50) + 2), 0)</f>
        <v>0.27100000000000002</v>
      </c>
      <c r="G30">
        <f>VLOOKUP(B30,Mort!$A$2:$E$111,IF('One ret age'!$C$6="M",2,3))</f>
        <v>3.6600000000000001E-3</v>
      </c>
      <c r="H30">
        <f t="shared" si="11"/>
        <v>0.33515031394537709</v>
      </c>
      <c r="I30">
        <f t="shared" si="12"/>
        <v>9.0825735079197195E-2</v>
      </c>
      <c r="K30" s="12">
        <v>163972.88</v>
      </c>
      <c r="L30" s="12">
        <v>11712.35</v>
      </c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>
        <v>0</v>
      </c>
      <c r="AG30" s="3">
        <v>26712.74</v>
      </c>
      <c r="AH30" s="3">
        <v>11515.37</v>
      </c>
      <c r="AI30" s="3">
        <v>12048.01</v>
      </c>
      <c r="AJ30" s="3">
        <v>12598.03</v>
      </c>
      <c r="AK30" s="3">
        <v>13163.19</v>
      </c>
      <c r="AL30" s="3">
        <v>13741.91</v>
      </c>
      <c r="AM30" s="3">
        <v>14328.81</v>
      </c>
      <c r="AN30" s="3">
        <v>14919.63</v>
      </c>
      <c r="AO30" s="3">
        <v>15509.93</v>
      </c>
      <c r="AP30" s="3">
        <v>16095.77</v>
      </c>
      <c r="AQ30" s="3">
        <v>16675.04</v>
      </c>
      <c r="AR30" s="3">
        <v>17241.2</v>
      </c>
      <c r="AS30" s="3">
        <v>17788.38</v>
      </c>
      <c r="AT30" s="3">
        <v>18309.02</v>
      </c>
      <c r="AU30" s="3">
        <v>18789.47</v>
      </c>
      <c r="AV30" s="3">
        <v>19215.509999999998</v>
      </c>
      <c r="AW30" s="3">
        <v>19571.150000000001</v>
      </c>
      <c r="AX30" s="3">
        <v>19842.509999999998</v>
      </c>
      <c r="AY30" s="3">
        <v>20012.55</v>
      </c>
      <c r="AZ30" s="3">
        <v>20064.55</v>
      </c>
      <c r="BA30" s="3">
        <v>19985.650000000001</v>
      </c>
      <c r="BB30" s="3">
        <v>19767.900000000001</v>
      </c>
      <c r="BC30" s="3">
        <v>19401.740000000002</v>
      </c>
      <c r="BD30" s="3">
        <v>18878.82</v>
      </c>
      <c r="BE30" s="3">
        <v>18158.07</v>
      </c>
      <c r="BF30" s="3">
        <v>17231.310000000001</v>
      </c>
      <c r="BG30" s="3">
        <v>16101.54</v>
      </c>
      <c r="BH30" s="3">
        <v>14783.21</v>
      </c>
      <c r="BI30" s="3">
        <v>13307.69</v>
      </c>
      <c r="BJ30" s="3">
        <v>11724.34</v>
      </c>
      <c r="BK30" s="3">
        <v>10094.120000000001</v>
      </c>
      <c r="BL30" s="3">
        <v>8479.61</v>
      </c>
      <c r="BM30" s="3">
        <v>6938.15</v>
      </c>
      <c r="BN30" s="3">
        <v>5518.58</v>
      </c>
      <c r="BO30" s="3">
        <v>4258.17</v>
      </c>
      <c r="BP30" s="3">
        <v>3206.16</v>
      </c>
      <c r="BQ30" s="3">
        <v>2333.52</v>
      </c>
      <c r="BR30" s="3">
        <v>1660.87</v>
      </c>
      <c r="BS30" s="3">
        <v>1120.6500000000001</v>
      </c>
      <c r="BT30" s="3">
        <v>712.73</v>
      </c>
      <c r="BU30" s="3">
        <v>409.6</v>
      </c>
      <c r="BV30" s="3">
        <v>207.12</v>
      </c>
      <c r="BW30" s="3">
        <v>90.62</v>
      </c>
      <c r="BX30" s="3">
        <v>33.96</v>
      </c>
      <c r="BY30" s="3">
        <v>10.38</v>
      </c>
      <c r="BZ30" s="3">
        <v>2.38</v>
      </c>
      <c r="CA30" s="3">
        <v>0.35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3">
        <v>0</v>
      </c>
      <c r="DB30" s="3">
        <v>0</v>
      </c>
      <c r="DC30" s="3">
        <v>0</v>
      </c>
      <c r="DD30" s="3">
        <v>0</v>
      </c>
      <c r="DE30" s="3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FI30" s="3"/>
      <c r="FJ30" s="3"/>
      <c r="FK30" s="3"/>
      <c r="FL30" s="3"/>
      <c r="FM30" s="3"/>
    </row>
    <row r="31" spans="2:169" x14ac:dyDescent="0.25">
      <c r="B31">
        <f t="shared" si="9"/>
        <v>64</v>
      </c>
      <c r="C31">
        <f t="shared" si="10"/>
        <v>28</v>
      </c>
      <c r="D31" t="b">
        <f>OR(AND(B31&gt;=$C$6, C31 &gt;= $C$7), 'One ret age'!$C$5="Retired")</f>
        <v>1</v>
      </c>
      <c r="E31">
        <f>IF(D31, 0, VLOOKUP(B31, Withd!$A$2:$AZ$57, MIN(C31, 50) + 2))</f>
        <v>0</v>
      </c>
      <c r="F31">
        <f>IF(D31, VLOOKUP(B31,Ret!$A$2:$AZ$27, MIN(C31, 50) + 2), 0)</f>
        <v>0.25900000000000001</v>
      </c>
      <c r="G31">
        <f>VLOOKUP(B31,Mort!$A$2:$E$111,IF('One ret age'!$C$6="M",2,3))</f>
        <v>3.8300000000000001E-3</v>
      </c>
      <c r="H31">
        <f t="shared" si="11"/>
        <v>0.24309792871713981</v>
      </c>
      <c r="I31">
        <f t="shared" si="12"/>
        <v>6.2962363537739208E-2</v>
      </c>
      <c r="K31" s="12">
        <v>151523.39000000001</v>
      </c>
      <c r="L31" s="12">
        <v>10823.1</v>
      </c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>
        <v>0</v>
      </c>
      <c r="AH31" s="3">
        <v>11607.42</v>
      </c>
      <c r="AI31" s="3">
        <v>12144.31</v>
      </c>
      <c r="AJ31" s="3">
        <v>12698.73</v>
      </c>
      <c r="AK31" s="3">
        <v>13268.41</v>
      </c>
      <c r="AL31" s="3">
        <v>13851.76</v>
      </c>
      <c r="AM31" s="3">
        <v>14443.35</v>
      </c>
      <c r="AN31" s="3">
        <v>15038.89</v>
      </c>
      <c r="AO31" s="3">
        <v>15633.9</v>
      </c>
      <c r="AP31" s="3">
        <v>16224.43</v>
      </c>
      <c r="AQ31" s="3">
        <v>16808.330000000002</v>
      </c>
      <c r="AR31" s="3">
        <v>17379.009999999998</v>
      </c>
      <c r="AS31" s="3">
        <v>17930.57</v>
      </c>
      <c r="AT31" s="3">
        <v>18455.38</v>
      </c>
      <c r="AU31" s="3">
        <v>18939.66</v>
      </c>
      <c r="AV31" s="3">
        <v>19369.11</v>
      </c>
      <c r="AW31" s="3">
        <v>19727.59</v>
      </c>
      <c r="AX31" s="3">
        <v>20001.12</v>
      </c>
      <c r="AY31" s="3">
        <v>20172.52</v>
      </c>
      <c r="AZ31" s="3">
        <v>20224.93</v>
      </c>
      <c r="BA31" s="3">
        <v>20145.400000000001</v>
      </c>
      <c r="BB31" s="3">
        <v>19925.91</v>
      </c>
      <c r="BC31" s="3">
        <v>19556.830000000002</v>
      </c>
      <c r="BD31" s="3">
        <v>19029.72</v>
      </c>
      <c r="BE31" s="3">
        <v>18303.21</v>
      </c>
      <c r="BF31" s="3">
        <v>17369.05</v>
      </c>
      <c r="BG31" s="3">
        <v>16230.24</v>
      </c>
      <c r="BH31" s="3">
        <v>14901.38</v>
      </c>
      <c r="BI31" s="3">
        <v>13414.06</v>
      </c>
      <c r="BJ31" s="3">
        <v>11818.06</v>
      </c>
      <c r="BK31" s="3">
        <v>10174.799999999999</v>
      </c>
      <c r="BL31" s="3">
        <v>8547.39</v>
      </c>
      <c r="BM31" s="3">
        <v>6993.61</v>
      </c>
      <c r="BN31" s="3">
        <v>5562.69</v>
      </c>
      <c r="BO31" s="3">
        <v>4292.2</v>
      </c>
      <c r="BP31" s="3">
        <v>3231.78</v>
      </c>
      <c r="BQ31" s="3">
        <v>2352.17</v>
      </c>
      <c r="BR31" s="3">
        <v>1674.14</v>
      </c>
      <c r="BS31" s="3">
        <v>1129.6099999999999</v>
      </c>
      <c r="BT31" s="3">
        <v>718.42</v>
      </c>
      <c r="BU31" s="3">
        <v>412.88</v>
      </c>
      <c r="BV31" s="3">
        <v>208.77</v>
      </c>
      <c r="BW31" s="3">
        <v>91.35</v>
      </c>
      <c r="BX31" s="3">
        <v>34.229999999999997</v>
      </c>
      <c r="BY31" s="3">
        <v>10.46</v>
      </c>
      <c r="BZ31" s="3">
        <v>2.4</v>
      </c>
      <c r="CA31" s="3">
        <v>0.35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3">
        <v>0</v>
      </c>
      <c r="DB31" s="3">
        <v>0</v>
      </c>
      <c r="DC31" s="3">
        <v>0</v>
      </c>
      <c r="DD31" s="3">
        <v>0</v>
      </c>
      <c r="DE31" s="3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FI31" s="3"/>
      <c r="FJ31" s="3"/>
      <c r="FK31" s="3"/>
      <c r="FL31" s="3"/>
      <c r="FM31" s="3"/>
    </row>
    <row r="32" spans="2:169" x14ac:dyDescent="0.25">
      <c r="B32">
        <f t="shared" si="9"/>
        <v>65</v>
      </c>
      <c r="C32">
        <f t="shared" si="10"/>
        <v>29</v>
      </c>
      <c r="D32" t="b">
        <f>OR(AND(B32&gt;=$C$6, C32 &gt;= $C$7), 'One ret age'!$C$5="Retired")</f>
        <v>1</v>
      </c>
      <c r="E32">
        <f>IF(D32, 0, VLOOKUP(B32, Withd!$A$2:$AZ$57, MIN(C32, 50) + 2))</f>
        <v>0</v>
      </c>
      <c r="F32">
        <f>IF(D32, VLOOKUP(B32,Ret!$A$2:$AZ$27, MIN(C32, 50) + 2), 0)</f>
        <v>0.35</v>
      </c>
      <c r="G32">
        <f>VLOOKUP(B32,Mort!$A$2:$E$111,IF('One ret age'!$C$6="M",2,3))</f>
        <v>4.0000000000000001E-3</v>
      </c>
      <c r="H32">
        <f t="shared" si="11"/>
        <v>0.17920450011241396</v>
      </c>
      <c r="I32">
        <f t="shared" si="12"/>
        <v>6.2721575039344876E-2</v>
      </c>
      <c r="K32" s="12">
        <v>147027.70000000001</v>
      </c>
      <c r="L32" s="12">
        <v>10501.98</v>
      </c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>
        <v>0</v>
      </c>
      <c r="AI32" s="3">
        <v>12245.83</v>
      </c>
      <c r="AJ32" s="3">
        <v>12804.88</v>
      </c>
      <c r="AK32" s="3">
        <v>13379.33</v>
      </c>
      <c r="AL32" s="3">
        <v>13967.55</v>
      </c>
      <c r="AM32" s="3">
        <v>14564.09</v>
      </c>
      <c r="AN32" s="3">
        <v>15164.6</v>
      </c>
      <c r="AO32" s="3">
        <v>15764.59</v>
      </c>
      <c r="AP32" s="3">
        <v>16360.05</v>
      </c>
      <c r="AQ32" s="3">
        <v>16948.830000000002</v>
      </c>
      <c r="AR32" s="3">
        <v>17524.29</v>
      </c>
      <c r="AS32" s="3">
        <v>18080.46</v>
      </c>
      <c r="AT32" s="3">
        <v>18609.650000000001</v>
      </c>
      <c r="AU32" s="3">
        <v>19097.98</v>
      </c>
      <c r="AV32" s="3">
        <v>19531.02</v>
      </c>
      <c r="AW32" s="3">
        <v>19892.5</v>
      </c>
      <c r="AX32" s="3">
        <v>20168.32</v>
      </c>
      <c r="AY32" s="3">
        <v>20341.150000000001</v>
      </c>
      <c r="AZ32" s="3">
        <v>20394</v>
      </c>
      <c r="BA32" s="3">
        <v>20313.810000000001</v>
      </c>
      <c r="BB32" s="3">
        <v>20092.48</v>
      </c>
      <c r="BC32" s="3">
        <v>19720.310000000001</v>
      </c>
      <c r="BD32" s="3">
        <v>19188.8</v>
      </c>
      <c r="BE32" s="3">
        <v>18456.21</v>
      </c>
      <c r="BF32" s="3">
        <v>17514.240000000002</v>
      </c>
      <c r="BG32" s="3">
        <v>16365.92</v>
      </c>
      <c r="BH32" s="3">
        <v>15025.95</v>
      </c>
      <c r="BI32" s="3">
        <v>13526.2</v>
      </c>
      <c r="BJ32" s="3">
        <v>11916.85</v>
      </c>
      <c r="BK32" s="3">
        <v>10259.86</v>
      </c>
      <c r="BL32" s="3">
        <v>8618.84</v>
      </c>
      <c r="BM32" s="3">
        <v>7052.07</v>
      </c>
      <c r="BN32" s="3">
        <v>5609.19</v>
      </c>
      <c r="BO32" s="3">
        <v>4328.08</v>
      </c>
      <c r="BP32" s="3">
        <v>3258.8</v>
      </c>
      <c r="BQ32" s="3">
        <v>2371.83</v>
      </c>
      <c r="BR32" s="3">
        <v>1688.14</v>
      </c>
      <c r="BS32" s="3">
        <v>1139.05</v>
      </c>
      <c r="BT32" s="3">
        <v>724.43</v>
      </c>
      <c r="BU32" s="3">
        <v>416.33</v>
      </c>
      <c r="BV32" s="3">
        <v>210.52</v>
      </c>
      <c r="BW32" s="3">
        <v>92.11</v>
      </c>
      <c r="BX32" s="3">
        <v>34.520000000000003</v>
      </c>
      <c r="BY32" s="3">
        <v>10.55</v>
      </c>
      <c r="BZ32" s="3">
        <v>2.42</v>
      </c>
      <c r="CA32" s="3">
        <v>0.35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FI32" s="3"/>
      <c r="FJ32" s="3"/>
      <c r="FK32" s="3"/>
      <c r="FL32" s="3"/>
      <c r="FM32" s="3"/>
    </row>
    <row r="33" spans="2:169" x14ac:dyDescent="0.25">
      <c r="B33">
        <f t="shared" si="9"/>
        <v>66</v>
      </c>
      <c r="C33">
        <f t="shared" si="10"/>
        <v>30</v>
      </c>
      <c r="D33" t="b">
        <f>OR(AND(B33&gt;=$C$6, C33 &gt;= $C$7), 'One ret age'!$C$5="Retired")</f>
        <v>1</v>
      </c>
      <c r="E33">
        <f>IF(D33, 0, VLOOKUP(B33, Withd!$A$2:$AZ$57, MIN(C33, 50) + 2))</f>
        <v>0</v>
      </c>
      <c r="F33">
        <f>IF(D33, VLOOKUP(B33,Ret!$A$2:$AZ$27, MIN(C33, 50) + 2), 0)</f>
        <v>0.27</v>
      </c>
      <c r="G33">
        <f>VLOOKUP(B33,Mort!$A$2:$E$111,IF('One ret age'!$C$6="M",2,3))</f>
        <v>4.2300000000000003E-3</v>
      </c>
      <c r="H33">
        <f t="shared" si="11"/>
        <v>0.11576610707261942</v>
      </c>
      <c r="I33">
        <f t="shared" si="12"/>
        <v>3.1256848909607247E-2</v>
      </c>
      <c r="K33" s="12">
        <v>142481.87</v>
      </c>
      <c r="L33" s="12">
        <v>10177.280000000001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>
        <v>0</v>
      </c>
      <c r="AJ33" s="3">
        <v>12919.35</v>
      </c>
      <c r="AK33" s="3">
        <v>13498.93</v>
      </c>
      <c r="AL33" s="3">
        <v>14092.41</v>
      </c>
      <c r="AM33" s="3">
        <v>14694.28</v>
      </c>
      <c r="AN33" s="3">
        <v>15300.16</v>
      </c>
      <c r="AO33" s="3">
        <v>15905.51</v>
      </c>
      <c r="AP33" s="3">
        <v>16506.3</v>
      </c>
      <c r="AQ33" s="3">
        <v>17100.34</v>
      </c>
      <c r="AR33" s="3">
        <v>17680.939999999999</v>
      </c>
      <c r="AS33" s="3">
        <v>18242.09</v>
      </c>
      <c r="AT33" s="3">
        <v>18776</v>
      </c>
      <c r="AU33" s="3">
        <v>19268.7</v>
      </c>
      <c r="AV33" s="3">
        <v>19705.62</v>
      </c>
      <c r="AW33" s="3">
        <v>20070.32</v>
      </c>
      <c r="AX33" s="3">
        <v>20348.599999999999</v>
      </c>
      <c r="AY33" s="3">
        <v>20522.98</v>
      </c>
      <c r="AZ33" s="3">
        <v>20576.3</v>
      </c>
      <c r="BA33" s="3">
        <v>20495.400000000001</v>
      </c>
      <c r="BB33" s="3">
        <v>20272.09</v>
      </c>
      <c r="BC33" s="3">
        <v>19896.59</v>
      </c>
      <c r="BD33" s="3">
        <v>19360.330000000002</v>
      </c>
      <c r="BE33" s="3">
        <v>18621.2</v>
      </c>
      <c r="BF33" s="3">
        <v>17670.810000000001</v>
      </c>
      <c r="BG33" s="3">
        <v>16512.22</v>
      </c>
      <c r="BH33" s="3">
        <v>15160.27</v>
      </c>
      <c r="BI33" s="3">
        <v>13647.11</v>
      </c>
      <c r="BJ33" s="3">
        <v>12023.38</v>
      </c>
      <c r="BK33" s="3">
        <v>10351.57</v>
      </c>
      <c r="BL33" s="3">
        <v>8695.8799999999992</v>
      </c>
      <c r="BM33" s="3">
        <v>7115.11</v>
      </c>
      <c r="BN33" s="3">
        <v>5659.33</v>
      </c>
      <c r="BO33" s="3">
        <v>4366.7700000000004</v>
      </c>
      <c r="BP33" s="3">
        <v>3287.93</v>
      </c>
      <c r="BQ33" s="3">
        <v>2393.0300000000002</v>
      </c>
      <c r="BR33" s="3">
        <v>1703.23</v>
      </c>
      <c r="BS33" s="3">
        <v>1149.23</v>
      </c>
      <c r="BT33" s="3">
        <v>730.91</v>
      </c>
      <c r="BU33" s="3">
        <v>420.05</v>
      </c>
      <c r="BV33" s="3">
        <v>212.4</v>
      </c>
      <c r="BW33" s="3">
        <v>92.93</v>
      </c>
      <c r="BX33" s="3">
        <v>34.82</v>
      </c>
      <c r="BY33" s="3">
        <v>10.64</v>
      </c>
      <c r="BZ33" s="3">
        <v>2.44</v>
      </c>
      <c r="CA33" s="3">
        <v>0.35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3">
        <v>0</v>
      </c>
      <c r="DB33" s="3">
        <v>0</v>
      </c>
      <c r="DC33" s="3">
        <v>0</v>
      </c>
      <c r="DD33" s="3">
        <v>0</v>
      </c>
      <c r="DE33" s="3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FI33" s="3"/>
      <c r="FJ33" s="3"/>
      <c r="FK33" s="3"/>
      <c r="FL33" s="3"/>
      <c r="FM33" s="3"/>
    </row>
    <row r="34" spans="2:169" x14ac:dyDescent="0.25">
      <c r="B34">
        <f t="shared" si="9"/>
        <v>67</v>
      </c>
      <c r="C34">
        <f t="shared" si="10"/>
        <v>31</v>
      </c>
      <c r="D34" t="b">
        <f>OR(AND(B34&gt;=$C$6, C34 &gt;= $C$7), 'One ret age'!$C$5="Retired")</f>
        <v>1</v>
      </c>
      <c r="E34">
        <f>IF(D34, 0, VLOOKUP(B34, Withd!$A$2:$AZ$57, MIN(C34, 50) + 2))</f>
        <v>0</v>
      </c>
      <c r="F34">
        <f>IF(D34, VLOOKUP(B34,Ret!$A$2:$AZ$27, MIN(C34, 50) + 2), 0)</f>
        <v>0.34599999999999997</v>
      </c>
      <c r="G34">
        <f>VLOOKUP(B34,Mort!$A$2:$E$111,IF('One ret age'!$C$6="M",2,3))</f>
        <v>4.4400000000000004E-3</v>
      </c>
      <c r="H34">
        <f t="shared" si="11"/>
        <v>8.4019567530094999E-2</v>
      </c>
      <c r="I34">
        <f t="shared" si="12"/>
        <v>2.9070770365412866E-2</v>
      </c>
      <c r="K34" s="12">
        <v>137903.75</v>
      </c>
      <c r="L34" s="12">
        <v>9850.27</v>
      </c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>
        <v>0</v>
      </c>
      <c r="AK34" s="3">
        <v>13629.91</v>
      </c>
      <c r="AL34" s="3">
        <v>14229.15</v>
      </c>
      <c r="AM34" s="3">
        <v>14836.86</v>
      </c>
      <c r="AN34" s="3">
        <v>15448.62</v>
      </c>
      <c r="AO34" s="3">
        <v>16059.85</v>
      </c>
      <c r="AP34" s="3">
        <v>16666.46</v>
      </c>
      <c r="AQ34" s="3">
        <v>17266.27</v>
      </c>
      <c r="AR34" s="3">
        <v>17852.509999999998</v>
      </c>
      <c r="AS34" s="3">
        <v>18419.09</v>
      </c>
      <c r="AT34" s="3">
        <v>18958.189999999999</v>
      </c>
      <c r="AU34" s="3">
        <v>19455.669999999998</v>
      </c>
      <c r="AV34" s="3">
        <v>19896.82</v>
      </c>
      <c r="AW34" s="3">
        <v>20265.07</v>
      </c>
      <c r="AX34" s="3">
        <v>20546.05</v>
      </c>
      <c r="AY34" s="3">
        <v>20722.12</v>
      </c>
      <c r="AZ34" s="3">
        <v>20775.96</v>
      </c>
      <c r="BA34" s="3">
        <v>20694.27</v>
      </c>
      <c r="BB34" s="3">
        <v>20468.8</v>
      </c>
      <c r="BC34" s="3">
        <v>20089.650000000001</v>
      </c>
      <c r="BD34" s="3">
        <v>19548.189999999999</v>
      </c>
      <c r="BE34" s="3">
        <v>18801.88</v>
      </c>
      <c r="BF34" s="3">
        <v>17842.27</v>
      </c>
      <c r="BG34" s="3">
        <v>16672.439999999999</v>
      </c>
      <c r="BH34" s="3">
        <v>15307.37</v>
      </c>
      <c r="BI34" s="3">
        <v>13779.53</v>
      </c>
      <c r="BJ34" s="3">
        <v>12140.04</v>
      </c>
      <c r="BK34" s="3">
        <v>10452.02</v>
      </c>
      <c r="BL34" s="3">
        <v>8780.26</v>
      </c>
      <c r="BM34" s="3">
        <v>7184.15</v>
      </c>
      <c r="BN34" s="3">
        <v>5714.24</v>
      </c>
      <c r="BO34" s="3">
        <v>4409.1400000000003</v>
      </c>
      <c r="BP34" s="3">
        <v>3319.83</v>
      </c>
      <c r="BQ34" s="3">
        <v>2416.25</v>
      </c>
      <c r="BR34" s="3">
        <v>1719.76</v>
      </c>
      <c r="BS34" s="3">
        <v>1160.3800000000001</v>
      </c>
      <c r="BT34" s="3">
        <v>738</v>
      </c>
      <c r="BU34" s="3">
        <v>424.13</v>
      </c>
      <c r="BV34" s="3">
        <v>214.46</v>
      </c>
      <c r="BW34" s="3">
        <v>93.84</v>
      </c>
      <c r="BX34" s="3">
        <v>35.159999999999997</v>
      </c>
      <c r="BY34" s="3">
        <v>10.74</v>
      </c>
      <c r="BZ34" s="3">
        <v>2.46</v>
      </c>
      <c r="CA34" s="3">
        <v>0.36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3">
        <v>0</v>
      </c>
      <c r="DB34" s="3">
        <v>0</v>
      </c>
      <c r="DC34" s="3">
        <v>0</v>
      </c>
      <c r="DD34" s="3">
        <v>0</v>
      </c>
      <c r="DE34" s="3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FI34" s="3"/>
      <c r="FJ34" s="3"/>
      <c r="FK34" s="3"/>
      <c r="FL34" s="3"/>
      <c r="FM34" s="3"/>
    </row>
    <row r="35" spans="2:169" x14ac:dyDescent="0.25">
      <c r="B35">
        <f t="shared" si="9"/>
        <v>68</v>
      </c>
      <c r="C35">
        <f t="shared" si="10"/>
        <v>32</v>
      </c>
      <c r="D35" t="b">
        <f>OR(AND(B35&gt;=$C$6, C35 &gt;= $C$7), 'One ret age'!$C$5="Retired")</f>
        <v>1</v>
      </c>
      <c r="E35">
        <f>IF(D35, 0, VLOOKUP(B35, Withd!$A$2:$AZ$57, MIN(C35, 50) + 2))</f>
        <v>0</v>
      </c>
      <c r="F35">
        <f>IF(D35, VLOOKUP(B35,Ret!$A$2:$AZ$27, MIN(C35, 50) + 2), 0)</f>
        <v>0.25700000000000001</v>
      </c>
      <c r="G35">
        <f>VLOOKUP(B35,Mort!$A$2:$E$111,IF('One ret age'!$C$6="M",2,3))</f>
        <v>4.6499999999999996E-3</v>
      </c>
      <c r="H35">
        <f t="shared" si="11"/>
        <v>5.4575750284848512E-2</v>
      </c>
      <c r="I35">
        <f t="shared" si="12"/>
        <v>1.4025967823206068E-2</v>
      </c>
      <c r="K35" s="12">
        <v>133298.1</v>
      </c>
      <c r="L35" s="12">
        <v>9521.2900000000009</v>
      </c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>
        <v>0</v>
      </c>
      <c r="AL35" s="3">
        <v>14379.56</v>
      </c>
      <c r="AM35" s="3">
        <v>14993.69</v>
      </c>
      <c r="AN35" s="3">
        <v>15611.92</v>
      </c>
      <c r="AO35" s="3">
        <v>16229.61</v>
      </c>
      <c r="AP35" s="3">
        <v>16842.63</v>
      </c>
      <c r="AQ35" s="3">
        <v>17448.79</v>
      </c>
      <c r="AR35" s="3">
        <v>18041.22</v>
      </c>
      <c r="AS35" s="3">
        <v>18613.79</v>
      </c>
      <c r="AT35" s="3">
        <v>19158.59</v>
      </c>
      <c r="AU35" s="3">
        <v>19661.330000000002</v>
      </c>
      <c r="AV35" s="3">
        <v>20107.150000000001</v>
      </c>
      <c r="AW35" s="3">
        <v>20479.28</v>
      </c>
      <c r="AX35" s="3">
        <v>20763.240000000002</v>
      </c>
      <c r="AY35" s="3">
        <v>20941.169999999998</v>
      </c>
      <c r="AZ35" s="3">
        <v>20995.58</v>
      </c>
      <c r="BA35" s="3">
        <v>20913.02</v>
      </c>
      <c r="BB35" s="3">
        <v>20685.16</v>
      </c>
      <c r="BC35" s="3">
        <v>20302.009999999998</v>
      </c>
      <c r="BD35" s="3">
        <v>19754.82</v>
      </c>
      <c r="BE35" s="3">
        <v>19000.63</v>
      </c>
      <c r="BF35" s="3">
        <v>18030.87</v>
      </c>
      <c r="BG35" s="3">
        <v>16848.68</v>
      </c>
      <c r="BH35" s="3">
        <v>15469.18</v>
      </c>
      <c r="BI35" s="3">
        <v>13925.19</v>
      </c>
      <c r="BJ35" s="3">
        <v>12268.37</v>
      </c>
      <c r="BK35" s="3">
        <v>10562.5</v>
      </c>
      <c r="BL35" s="3">
        <v>8873.07</v>
      </c>
      <c r="BM35" s="3">
        <v>7260.09</v>
      </c>
      <c r="BN35" s="3">
        <v>5774.65</v>
      </c>
      <c r="BO35" s="3">
        <v>4455.75</v>
      </c>
      <c r="BP35" s="3">
        <v>3354.93</v>
      </c>
      <c r="BQ35" s="3">
        <v>2441.79</v>
      </c>
      <c r="BR35" s="3">
        <v>1737.94</v>
      </c>
      <c r="BS35" s="3">
        <v>1172.6500000000001</v>
      </c>
      <c r="BT35" s="3">
        <v>745.8</v>
      </c>
      <c r="BU35" s="3">
        <v>428.61</v>
      </c>
      <c r="BV35" s="3">
        <v>216.73</v>
      </c>
      <c r="BW35" s="3">
        <v>94.83</v>
      </c>
      <c r="BX35" s="3">
        <v>35.53</v>
      </c>
      <c r="BY35" s="3">
        <v>10.86</v>
      </c>
      <c r="BZ35" s="3">
        <v>2.4900000000000002</v>
      </c>
      <c r="CA35" s="3">
        <v>0.36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FI35" s="3"/>
      <c r="FJ35" s="3"/>
      <c r="FK35" s="3"/>
      <c r="FL35" s="3"/>
      <c r="FM35" s="3"/>
    </row>
    <row r="36" spans="2:169" x14ac:dyDescent="0.25">
      <c r="B36">
        <f t="shared" si="9"/>
        <v>69</v>
      </c>
      <c r="C36">
        <f t="shared" si="10"/>
        <v>33</v>
      </c>
      <c r="D36" t="b">
        <f>OR(AND(B36&gt;=$C$6, C36 &gt;= $C$7), 'One ret age'!$C$5="Retired")</f>
        <v>1</v>
      </c>
      <c r="E36">
        <f>IF(D36, 0, VLOOKUP(B36, Withd!$A$2:$AZ$57, MIN(C36, 50) + 2))</f>
        <v>0</v>
      </c>
      <c r="F36">
        <f>IF(D36, VLOOKUP(B36,Ret!$A$2:$AZ$27, MIN(C36, 50) + 2), 0)</f>
        <v>0.27900000000000003</v>
      </c>
      <c r="G36">
        <f>VLOOKUP(B36,Mort!$A$2:$E$111,IF('One ret age'!$C$6="M",2,3))</f>
        <v>4.9399999999999999E-3</v>
      </c>
      <c r="H36">
        <f t="shared" si="11"/>
        <v>4.0296005222817899E-2</v>
      </c>
      <c r="I36">
        <f t="shared" si="12"/>
        <v>1.1242585457166195E-2</v>
      </c>
      <c r="K36" s="12">
        <v>128699.18</v>
      </c>
      <c r="L36" s="12">
        <v>9192.7999999999993</v>
      </c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>
        <v>0</v>
      </c>
      <c r="AM36" s="3">
        <v>15170.43</v>
      </c>
      <c r="AN36" s="3">
        <v>15795.95</v>
      </c>
      <c r="AO36" s="3">
        <v>16420.91</v>
      </c>
      <c r="AP36" s="3">
        <v>17041.16</v>
      </c>
      <c r="AQ36" s="3">
        <v>17654.46</v>
      </c>
      <c r="AR36" s="3">
        <v>18253.88</v>
      </c>
      <c r="AS36" s="3">
        <v>18833.2</v>
      </c>
      <c r="AT36" s="3">
        <v>19384.419999999998</v>
      </c>
      <c r="AU36" s="3">
        <v>19893.080000000002</v>
      </c>
      <c r="AV36" s="3">
        <v>20344.150000000001</v>
      </c>
      <c r="AW36" s="3">
        <v>20720.68</v>
      </c>
      <c r="AX36" s="3">
        <v>21007.98</v>
      </c>
      <c r="AY36" s="3">
        <v>21188.01</v>
      </c>
      <c r="AZ36" s="3">
        <v>21243.06</v>
      </c>
      <c r="BA36" s="3">
        <v>21159.53</v>
      </c>
      <c r="BB36" s="3">
        <v>20928.990000000002</v>
      </c>
      <c r="BC36" s="3">
        <v>20541.32</v>
      </c>
      <c r="BD36" s="3">
        <v>19987.68</v>
      </c>
      <c r="BE36" s="3">
        <v>19224.599999999999</v>
      </c>
      <c r="BF36" s="3">
        <v>18243.41</v>
      </c>
      <c r="BG36" s="3">
        <v>17047.28</v>
      </c>
      <c r="BH36" s="3">
        <v>15651.52</v>
      </c>
      <c r="BI36" s="3">
        <v>14089.33</v>
      </c>
      <c r="BJ36" s="3">
        <v>12412.98</v>
      </c>
      <c r="BK36" s="3">
        <v>10687</v>
      </c>
      <c r="BL36" s="3">
        <v>8977.66</v>
      </c>
      <c r="BM36" s="3">
        <v>7345.67</v>
      </c>
      <c r="BN36" s="3">
        <v>5842.71</v>
      </c>
      <c r="BO36" s="3">
        <v>4508.2700000000004</v>
      </c>
      <c r="BP36" s="3">
        <v>3394.47</v>
      </c>
      <c r="BQ36" s="3">
        <v>2470.58</v>
      </c>
      <c r="BR36" s="3">
        <v>1758.42</v>
      </c>
      <c r="BS36" s="3">
        <v>1186.47</v>
      </c>
      <c r="BT36" s="3">
        <v>754.59</v>
      </c>
      <c r="BU36" s="3">
        <v>433.66</v>
      </c>
      <c r="BV36" s="3">
        <v>219.28</v>
      </c>
      <c r="BW36" s="3">
        <v>95.94</v>
      </c>
      <c r="BX36" s="3">
        <v>35.950000000000003</v>
      </c>
      <c r="BY36" s="3">
        <v>10.98</v>
      </c>
      <c r="BZ36" s="3">
        <v>2.52</v>
      </c>
      <c r="CA36" s="3">
        <v>0.37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FI36" s="3"/>
      <c r="FJ36" s="3"/>
      <c r="FK36" s="3"/>
      <c r="FL36" s="3"/>
      <c r="FM36" s="3"/>
    </row>
    <row r="37" spans="2:169" x14ac:dyDescent="0.25">
      <c r="B37">
        <f t="shared" si="9"/>
        <v>70</v>
      </c>
      <c r="C37">
        <f t="shared" si="10"/>
        <v>34</v>
      </c>
      <c r="D37" t="b">
        <f>OR(AND(B37&gt;=$C$6, C37 &gt;= $C$7), 'One ret age'!$C$5="Retired")</f>
        <v>1</v>
      </c>
      <c r="E37">
        <f>IF(D37, 0, VLOOKUP(B37, Withd!$A$2:$AZ$57, MIN(C37, 50) + 2))</f>
        <v>0</v>
      </c>
      <c r="F37">
        <f>IF(D37, VLOOKUP(B37,Ret!$A$2:$AZ$27, MIN(C37, 50) + 2), 0)</f>
        <v>0.3</v>
      </c>
      <c r="G37">
        <f>VLOOKUP(B37,Mort!$A$2:$E$111,IF('One ret age'!$C$6="M",2,3))</f>
        <v>5.2399999999999999E-3</v>
      </c>
      <c r="H37">
        <f t="shared" si="11"/>
        <v>2.8854357499850981E-2</v>
      </c>
      <c r="I37">
        <f t="shared" si="12"/>
        <v>8.6563072499552945E-3</v>
      </c>
      <c r="K37" s="12">
        <v>124120.79</v>
      </c>
      <c r="L37" s="12">
        <v>8865.77</v>
      </c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>
        <v>0</v>
      </c>
      <c r="AN37" s="3">
        <v>16004.81</v>
      </c>
      <c r="AO37" s="3">
        <v>16638.04</v>
      </c>
      <c r="AP37" s="3">
        <v>17266.490000000002</v>
      </c>
      <c r="AQ37" s="3">
        <v>17887.900000000001</v>
      </c>
      <c r="AR37" s="3">
        <v>18495.240000000002</v>
      </c>
      <c r="AS37" s="3">
        <v>19082.22</v>
      </c>
      <c r="AT37" s="3">
        <v>19640.73</v>
      </c>
      <c r="AU37" s="3">
        <v>20156.12</v>
      </c>
      <c r="AV37" s="3">
        <v>20613.16</v>
      </c>
      <c r="AW37" s="3">
        <v>20994.66</v>
      </c>
      <c r="AX37" s="3">
        <v>21285.759999999998</v>
      </c>
      <c r="AY37" s="3">
        <v>21468.17</v>
      </c>
      <c r="AZ37" s="3">
        <v>21523.94</v>
      </c>
      <c r="BA37" s="3">
        <v>21439.31</v>
      </c>
      <c r="BB37" s="3">
        <v>21205.72</v>
      </c>
      <c r="BC37" s="3">
        <v>20812.93</v>
      </c>
      <c r="BD37" s="3">
        <v>20251.97</v>
      </c>
      <c r="BE37" s="3">
        <v>19478.8</v>
      </c>
      <c r="BF37" s="3">
        <v>18484.63</v>
      </c>
      <c r="BG37" s="3">
        <v>17272.68</v>
      </c>
      <c r="BH37" s="3">
        <v>15858.47</v>
      </c>
      <c r="BI37" s="3">
        <v>14275.63</v>
      </c>
      <c r="BJ37" s="3">
        <v>12577.11</v>
      </c>
      <c r="BK37" s="3">
        <v>10828.31</v>
      </c>
      <c r="BL37" s="3">
        <v>9096.3700000000008</v>
      </c>
      <c r="BM37" s="3">
        <v>7442.79</v>
      </c>
      <c r="BN37" s="3">
        <v>5919.97</v>
      </c>
      <c r="BO37" s="3">
        <v>4567.88</v>
      </c>
      <c r="BP37" s="3">
        <v>3439.36</v>
      </c>
      <c r="BQ37" s="3">
        <v>2503.2399999999998</v>
      </c>
      <c r="BR37" s="3">
        <v>1781.67</v>
      </c>
      <c r="BS37" s="3">
        <v>1202.1600000000001</v>
      </c>
      <c r="BT37" s="3">
        <v>764.57</v>
      </c>
      <c r="BU37" s="3">
        <v>439.4</v>
      </c>
      <c r="BV37" s="3">
        <v>222.18</v>
      </c>
      <c r="BW37" s="3">
        <v>97.21</v>
      </c>
      <c r="BX37" s="3">
        <v>36.43</v>
      </c>
      <c r="BY37" s="3">
        <v>11.13</v>
      </c>
      <c r="BZ37" s="3">
        <v>2.5499999999999998</v>
      </c>
      <c r="CA37" s="3">
        <v>0.37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3">
        <v>0</v>
      </c>
      <c r="DB37" s="3">
        <v>0</v>
      </c>
      <c r="DC37" s="3">
        <v>0</v>
      </c>
      <c r="DD37" s="3">
        <v>0</v>
      </c>
      <c r="DE37" s="3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FI37" s="3"/>
      <c r="FJ37" s="3"/>
      <c r="FK37" s="3"/>
      <c r="FL37" s="3"/>
      <c r="FM37" s="3"/>
    </row>
    <row r="38" spans="2:169" x14ac:dyDescent="0.25">
      <c r="B38">
        <f t="shared" si="9"/>
        <v>71</v>
      </c>
      <c r="C38">
        <f t="shared" si="10"/>
        <v>35</v>
      </c>
      <c r="D38" t="b">
        <f>OR(AND(B38&gt;=$C$6, C38 &gt;= $C$7), 'One ret age'!$C$5="Retired")</f>
        <v>1</v>
      </c>
      <c r="E38">
        <f>IF(D38, 0, VLOOKUP(B38, Withd!$A$2:$AZ$57, MIN(C38, 50) + 2))</f>
        <v>0</v>
      </c>
      <c r="F38">
        <f>IF(D38, VLOOKUP(B38,Ret!$A$2:$AZ$27, MIN(C38, 50) + 2), 0)</f>
        <v>0.25600000000000001</v>
      </c>
      <c r="G38">
        <f>VLOOKUP(B38,Mort!$A$2:$E$111,IF('One ret age'!$C$6="M",2,3))</f>
        <v>5.5700000000000003E-3</v>
      </c>
      <c r="H38">
        <f t="shared" si="11"/>
        <v>2.0046853416596466E-2</v>
      </c>
      <c r="I38">
        <f t="shared" si="12"/>
        <v>5.1319944746486953E-3</v>
      </c>
      <c r="K38" s="12">
        <v>119570.49</v>
      </c>
      <c r="L38" s="12">
        <v>8540.75</v>
      </c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>
        <v>0</v>
      </c>
      <c r="AO38" s="3">
        <v>16885.07</v>
      </c>
      <c r="AP38" s="3">
        <v>17522.849999999999</v>
      </c>
      <c r="AQ38" s="3">
        <v>18153.48</v>
      </c>
      <c r="AR38" s="3">
        <v>18769.84</v>
      </c>
      <c r="AS38" s="3">
        <v>19365.54</v>
      </c>
      <c r="AT38" s="3">
        <v>19932.34</v>
      </c>
      <c r="AU38" s="3">
        <v>20455.38</v>
      </c>
      <c r="AV38" s="3">
        <v>20919.2</v>
      </c>
      <c r="AW38" s="3">
        <v>21306.37</v>
      </c>
      <c r="AX38" s="3">
        <v>21601.79</v>
      </c>
      <c r="AY38" s="3">
        <v>21786.91</v>
      </c>
      <c r="AZ38" s="3">
        <v>21843.52</v>
      </c>
      <c r="BA38" s="3">
        <v>21757.62</v>
      </c>
      <c r="BB38" s="3">
        <v>21520.57</v>
      </c>
      <c r="BC38" s="3">
        <v>21121.94</v>
      </c>
      <c r="BD38" s="3">
        <v>20552.650000000001</v>
      </c>
      <c r="BE38" s="3">
        <v>19768</v>
      </c>
      <c r="BF38" s="3">
        <v>18759.080000000002</v>
      </c>
      <c r="BG38" s="3">
        <v>17529.14</v>
      </c>
      <c r="BH38" s="3">
        <v>16093.93</v>
      </c>
      <c r="BI38" s="3">
        <v>14487.58</v>
      </c>
      <c r="BJ38" s="3">
        <v>12763.85</v>
      </c>
      <c r="BK38" s="3">
        <v>10989.08</v>
      </c>
      <c r="BL38" s="3">
        <v>9231.43</v>
      </c>
      <c r="BM38" s="3">
        <v>7553.3</v>
      </c>
      <c r="BN38" s="3">
        <v>6007.86</v>
      </c>
      <c r="BO38" s="3">
        <v>4635.7</v>
      </c>
      <c r="BP38" s="3">
        <v>3490.42</v>
      </c>
      <c r="BQ38" s="3">
        <v>2540.41</v>
      </c>
      <c r="BR38" s="3">
        <v>1808.12</v>
      </c>
      <c r="BS38" s="3">
        <v>1220.01</v>
      </c>
      <c r="BT38" s="3">
        <v>775.92</v>
      </c>
      <c r="BU38" s="3">
        <v>445.92</v>
      </c>
      <c r="BV38" s="3">
        <v>225.48</v>
      </c>
      <c r="BW38" s="3">
        <v>98.66</v>
      </c>
      <c r="BX38" s="3">
        <v>36.97</v>
      </c>
      <c r="BY38" s="3">
        <v>11.3</v>
      </c>
      <c r="BZ38" s="3">
        <v>2.59</v>
      </c>
      <c r="CA38" s="3">
        <v>0.38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3">
        <v>0</v>
      </c>
      <c r="DB38" s="3">
        <v>0</v>
      </c>
      <c r="DC38" s="3">
        <v>0</v>
      </c>
      <c r="DD38" s="3">
        <v>0</v>
      </c>
      <c r="DE38" s="3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FI38" s="3"/>
      <c r="FJ38" s="3"/>
      <c r="FK38" s="3"/>
      <c r="FL38" s="3"/>
      <c r="FM38" s="3"/>
    </row>
    <row r="39" spans="2:169" x14ac:dyDescent="0.25">
      <c r="B39">
        <f t="shared" si="9"/>
        <v>72</v>
      </c>
      <c r="C39">
        <f t="shared" si="10"/>
        <v>36</v>
      </c>
      <c r="D39" t="b">
        <f>OR(AND(B39&gt;=$C$6, C39 &gt;= $C$7), 'One ret age'!$C$5="Retired")</f>
        <v>1</v>
      </c>
      <c r="E39">
        <f>IF(D39, 0, VLOOKUP(B39, Withd!$A$2:$AZ$57, MIN(C39, 50) + 2))</f>
        <v>0</v>
      </c>
      <c r="F39">
        <f>IF(D39, VLOOKUP(B39,Ret!$A$2:$AZ$27, MIN(C39, 50) + 2), 0)</f>
        <v>0.28399999999999997</v>
      </c>
      <c r="G39">
        <f>VLOOKUP(B39,Mort!$A$2:$E$111,IF('One ret age'!$C$6="M",2,3))</f>
        <v>5.9100000000000003E-3</v>
      </c>
      <c r="H39">
        <f t="shared" si="11"/>
        <v>1.4803197968417328E-2</v>
      </c>
      <c r="I39">
        <f t="shared" si="12"/>
        <v>4.2041082230305209E-3</v>
      </c>
      <c r="K39" s="12">
        <v>115046.35</v>
      </c>
      <c r="L39" s="12">
        <v>8217.6</v>
      </c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>
        <v>0</v>
      </c>
      <c r="AP39" s="3">
        <v>17813.75</v>
      </c>
      <c r="AQ39" s="3">
        <v>18454.849999999999</v>
      </c>
      <c r="AR39" s="3">
        <v>19081.439999999999</v>
      </c>
      <c r="AS39" s="3">
        <v>19687.03</v>
      </c>
      <c r="AT39" s="3">
        <v>20263.240000000002</v>
      </c>
      <c r="AU39" s="3">
        <v>20794.97</v>
      </c>
      <c r="AV39" s="3">
        <v>21266.49</v>
      </c>
      <c r="AW39" s="3">
        <v>21660.080000000002</v>
      </c>
      <c r="AX39" s="3">
        <v>21960.400000000001</v>
      </c>
      <c r="AY39" s="3">
        <v>22148.59</v>
      </c>
      <c r="AZ39" s="3">
        <v>22206.14</v>
      </c>
      <c r="BA39" s="3">
        <v>22118.82</v>
      </c>
      <c r="BB39" s="3">
        <v>21877.83</v>
      </c>
      <c r="BC39" s="3">
        <v>21472.59</v>
      </c>
      <c r="BD39" s="3">
        <v>20893.849999999999</v>
      </c>
      <c r="BE39" s="3">
        <v>20096.169999999998</v>
      </c>
      <c r="BF39" s="3">
        <v>19070.5</v>
      </c>
      <c r="BG39" s="3">
        <v>17820.14</v>
      </c>
      <c r="BH39" s="3">
        <v>16361.1</v>
      </c>
      <c r="BI39" s="3">
        <v>14728.09</v>
      </c>
      <c r="BJ39" s="3">
        <v>12975.74</v>
      </c>
      <c r="BK39" s="3">
        <v>11171.51</v>
      </c>
      <c r="BL39" s="3">
        <v>9384.68</v>
      </c>
      <c r="BM39" s="3">
        <v>7678.69</v>
      </c>
      <c r="BN39" s="3">
        <v>6107.6</v>
      </c>
      <c r="BO39" s="3">
        <v>4712.66</v>
      </c>
      <c r="BP39" s="3">
        <v>3548.37</v>
      </c>
      <c r="BQ39" s="3">
        <v>2582.58</v>
      </c>
      <c r="BR39" s="3">
        <v>1838.14</v>
      </c>
      <c r="BS39" s="3">
        <v>1240.26</v>
      </c>
      <c r="BT39" s="3">
        <v>788.8</v>
      </c>
      <c r="BU39" s="3">
        <v>453.32</v>
      </c>
      <c r="BV39" s="3">
        <v>229.22</v>
      </c>
      <c r="BW39" s="3">
        <v>100.29</v>
      </c>
      <c r="BX39" s="3">
        <v>37.58</v>
      </c>
      <c r="BY39" s="3">
        <v>11.48</v>
      </c>
      <c r="BZ39" s="3">
        <v>2.63</v>
      </c>
      <c r="CA39" s="3">
        <v>0.38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3">
        <v>0</v>
      </c>
      <c r="DB39" s="3">
        <v>0</v>
      </c>
      <c r="DC39" s="3">
        <v>0</v>
      </c>
      <c r="DD39" s="3">
        <v>0</v>
      </c>
      <c r="DE39" s="3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FI39" s="3"/>
      <c r="FJ39" s="3"/>
      <c r="FK39" s="3"/>
      <c r="FL39" s="3"/>
      <c r="FM39" s="3"/>
    </row>
    <row r="40" spans="2:169" x14ac:dyDescent="0.25">
      <c r="B40">
        <f t="shared" si="9"/>
        <v>73</v>
      </c>
      <c r="C40">
        <f t="shared" si="10"/>
        <v>37</v>
      </c>
      <c r="D40" t="b">
        <f>OR(AND(B40&gt;=$C$6, C40 &gt;= $C$7), 'One ret age'!$C$5="Retired")</f>
        <v>1</v>
      </c>
      <c r="E40">
        <f>IF(D40, 0, VLOOKUP(B40, Withd!$A$2:$AZ$57, MIN(C40, 50) + 2))</f>
        <v>0</v>
      </c>
      <c r="F40">
        <f>IF(D40, VLOOKUP(B40,Ret!$A$2:$AZ$27, MIN(C40, 50) + 2), 0)</f>
        <v>0.22</v>
      </c>
      <c r="G40">
        <f>VLOOKUP(B40,Mort!$A$2:$E$111,IF('One ret age'!$C$6="M",2,3))</f>
        <v>6.28E-3</v>
      </c>
      <c r="H40">
        <f t="shared" si="11"/>
        <v>1.051160284539346E-2</v>
      </c>
      <c r="I40">
        <f t="shared" si="12"/>
        <v>2.3125526259865615E-3</v>
      </c>
      <c r="K40" s="12">
        <v>110530.43</v>
      </c>
      <c r="L40" s="12">
        <v>7895.03</v>
      </c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>
        <v>0</v>
      </c>
      <c r="AQ40" s="3">
        <v>18793.509999999998</v>
      </c>
      <c r="AR40" s="3">
        <v>19431.599999999999</v>
      </c>
      <c r="AS40" s="3">
        <v>20048.3</v>
      </c>
      <c r="AT40" s="3">
        <v>20635.09</v>
      </c>
      <c r="AU40" s="3">
        <v>21176.57</v>
      </c>
      <c r="AV40" s="3">
        <v>21656.74</v>
      </c>
      <c r="AW40" s="3">
        <v>22057.55</v>
      </c>
      <c r="AX40" s="3">
        <v>22363.39</v>
      </c>
      <c r="AY40" s="3">
        <v>22555.040000000001</v>
      </c>
      <c r="AZ40" s="3">
        <v>22613.64</v>
      </c>
      <c r="BA40" s="3">
        <v>22524.720000000001</v>
      </c>
      <c r="BB40" s="3">
        <v>22279.3</v>
      </c>
      <c r="BC40" s="3">
        <v>21866.63</v>
      </c>
      <c r="BD40" s="3">
        <v>21277.27</v>
      </c>
      <c r="BE40" s="3">
        <v>20464.95</v>
      </c>
      <c r="BF40" s="3">
        <v>19420.46</v>
      </c>
      <c r="BG40" s="3">
        <v>18147.150000000001</v>
      </c>
      <c r="BH40" s="3">
        <v>16661.34</v>
      </c>
      <c r="BI40" s="3">
        <v>14998.36</v>
      </c>
      <c r="BJ40" s="3">
        <v>13213.85</v>
      </c>
      <c r="BK40" s="3">
        <v>11376.52</v>
      </c>
      <c r="BL40" s="3">
        <v>9556.89</v>
      </c>
      <c r="BM40" s="3">
        <v>7819.6</v>
      </c>
      <c r="BN40" s="3">
        <v>6219.68</v>
      </c>
      <c r="BO40" s="3">
        <v>4799.1400000000003</v>
      </c>
      <c r="BP40" s="3">
        <v>3613.48</v>
      </c>
      <c r="BQ40" s="3">
        <v>2629.98</v>
      </c>
      <c r="BR40" s="3">
        <v>1871.87</v>
      </c>
      <c r="BS40" s="3">
        <v>1263.02</v>
      </c>
      <c r="BT40" s="3">
        <v>803.28</v>
      </c>
      <c r="BU40" s="3">
        <v>461.64</v>
      </c>
      <c r="BV40" s="3">
        <v>233.43</v>
      </c>
      <c r="BW40" s="3">
        <v>102.14</v>
      </c>
      <c r="BX40" s="3">
        <v>38.270000000000003</v>
      </c>
      <c r="BY40" s="3">
        <v>11.69</v>
      </c>
      <c r="BZ40" s="3">
        <v>2.68</v>
      </c>
      <c r="CA40" s="3">
        <v>0.39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3">
        <v>0</v>
      </c>
      <c r="DB40" s="3">
        <v>0</v>
      </c>
      <c r="DC40" s="3">
        <v>0</v>
      </c>
      <c r="DD40" s="3">
        <v>0</v>
      </c>
      <c r="DE40" s="3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FI40" s="3"/>
      <c r="FJ40" s="3"/>
      <c r="FK40" s="3"/>
      <c r="FL40" s="3"/>
      <c r="FM40" s="3"/>
    </row>
    <row r="41" spans="2:169" x14ac:dyDescent="0.25">
      <c r="B41">
        <f t="shared" si="9"/>
        <v>74</v>
      </c>
      <c r="C41">
        <f t="shared" si="10"/>
        <v>38</v>
      </c>
      <c r="D41" t="b">
        <f>OR(AND(B41&gt;=$C$6, C41 &gt;= $C$7), 'One ret age'!$C$5="Retired")</f>
        <v>1</v>
      </c>
      <c r="E41">
        <f>IF(D41, 0, VLOOKUP(B41, Withd!$A$2:$AZ$57, MIN(C41, 50) + 2))</f>
        <v>0</v>
      </c>
      <c r="F41">
        <f>IF(D41, VLOOKUP(B41,Ret!$A$2:$AZ$27, MIN(C41, 50) + 2), 0)</f>
        <v>0.249</v>
      </c>
      <c r="G41">
        <f>VLOOKUP(B41,Mort!$A$2:$E$111,IF('One ret age'!$C$6="M",2,3))</f>
        <v>6.6899999999999998E-3</v>
      </c>
      <c r="H41">
        <f t="shared" si="11"/>
        <v>8.1330373535378284E-3</v>
      </c>
      <c r="I41">
        <f t="shared" si="12"/>
        <v>2.0251263010309193E-3</v>
      </c>
      <c r="K41" s="12">
        <v>106031.5</v>
      </c>
      <c r="L41" s="12">
        <v>7573.68</v>
      </c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>
        <v>0</v>
      </c>
      <c r="AR41" s="3">
        <v>19827.150000000001</v>
      </c>
      <c r="AS41" s="3">
        <v>20456.41</v>
      </c>
      <c r="AT41" s="3">
        <v>21055.14</v>
      </c>
      <c r="AU41" s="3">
        <v>21607.64</v>
      </c>
      <c r="AV41" s="3">
        <v>22097.59</v>
      </c>
      <c r="AW41" s="3">
        <v>22506.560000000001</v>
      </c>
      <c r="AX41" s="3">
        <v>22818.62</v>
      </c>
      <c r="AY41" s="3">
        <v>23014.17</v>
      </c>
      <c r="AZ41" s="3">
        <v>23073.96</v>
      </c>
      <c r="BA41" s="3">
        <v>22983.23</v>
      </c>
      <c r="BB41" s="3">
        <v>22732.82</v>
      </c>
      <c r="BC41" s="3">
        <v>22311.74</v>
      </c>
      <c r="BD41" s="3">
        <v>21710.39</v>
      </c>
      <c r="BE41" s="3">
        <v>20881.54</v>
      </c>
      <c r="BF41" s="3">
        <v>19815.78</v>
      </c>
      <c r="BG41" s="3">
        <v>18516.560000000001</v>
      </c>
      <c r="BH41" s="3">
        <v>17000.5</v>
      </c>
      <c r="BI41" s="3">
        <v>15303.67</v>
      </c>
      <c r="BJ41" s="3">
        <v>13482.84</v>
      </c>
      <c r="BK41" s="3">
        <v>11608.1</v>
      </c>
      <c r="BL41" s="3">
        <v>9751.43</v>
      </c>
      <c r="BM41" s="3">
        <v>7978.78</v>
      </c>
      <c r="BN41" s="3">
        <v>6346.29</v>
      </c>
      <c r="BO41" s="3">
        <v>4896.83</v>
      </c>
      <c r="BP41" s="3">
        <v>3687.04</v>
      </c>
      <c r="BQ41" s="3">
        <v>2683.51</v>
      </c>
      <c r="BR41" s="3">
        <v>1909.98</v>
      </c>
      <c r="BS41" s="3">
        <v>1288.73</v>
      </c>
      <c r="BT41" s="3">
        <v>819.63</v>
      </c>
      <c r="BU41" s="3">
        <v>471.04</v>
      </c>
      <c r="BV41" s="3">
        <v>238.18</v>
      </c>
      <c r="BW41" s="3">
        <v>104.21</v>
      </c>
      <c r="BX41" s="3">
        <v>39.049999999999997</v>
      </c>
      <c r="BY41" s="3">
        <v>11.93</v>
      </c>
      <c r="BZ41" s="3">
        <v>2.74</v>
      </c>
      <c r="CA41" s="3">
        <v>0.4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3">
        <v>0</v>
      </c>
      <c r="DB41" s="3">
        <v>0</v>
      </c>
      <c r="DC41" s="3">
        <v>0</v>
      </c>
      <c r="DD41" s="3">
        <v>0</v>
      </c>
      <c r="DE41" s="3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FI41" s="3"/>
      <c r="FJ41" s="3"/>
      <c r="FK41" s="3"/>
      <c r="FL41" s="3"/>
      <c r="FM41" s="3"/>
    </row>
    <row r="42" spans="2:169" x14ac:dyDescent="0.25">
      <c r="B42">
        <f t="shared" si="9"/>
        <v>75</v>
      </c>
      <c r="C42">
        <f t="shared" si="10"/>
        <v>39</v>
      </c>
      <c r="D42" t="b">
        <f>OR(AND(B42&gt;=$C$6, C42 &gt;= $C$7), 'One ret age'!$C$5="Retired")</f>
        <v>1</v>
      </c>
      <c r="E42">
        <f>IF(D42, 0, VLOOKUP(B42, Withd!$A$2:$AZ$57, MIN(C42, 50) + 2))</f>
        <v>0</v>
      </c>
      <c r="F42">
        <f>IF(D42, VLOOKUP(B42,Ret!$A$2:$AZ$27, MIN(C42, 50) + 2), 0)</f>
        <v>1</v>
      </c>
      <c r="G42">
        <f>VLOOKUP(B42,Mort!$A$2:$E$111,IF('One ret age'!$C$6="M",2,3))</f>
        <v>7.1300000000000001E-3</v>
      </c>
      <c r="H42">
        <f t="shared" si="11"/>
        <v>6.0535010326117416E-3</v>
      </c>
      <c r="I42">
        <f t="shared" si="12"/>
        <v>6.0535010326117416E-3</v>
      </c>
      <c r="K42" s="12">
        <v>101548.05</v>
      </c>
      <c r="L42" s="12">
        <v>7253.43</v>
      </c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>
        <v>0</v>
      </c>
      <c r="AS42" s="3">
        <v>20917.64</v>
      </c>
      <c r="AT42" s="3">
        <v>21529.87</v>
      </c>
      <c r="AU42" s="3">
        <v>22094.83</v>
      </c>
      <c r="AV42" s="3">
        <v>22595.83</v>
      </c>
      <c r="AW42" s="3">
        <v>23014.02</v>
      </c>
      <c r="AX42" s="3">
        <v>23333.119999999999</v>
      </c>
      <c r="AY42" s="3">
        <v>23533.07</v>
      </c>
      <c r="AZ42" s="3">
        <v>23594.22</v>
      </c>
      <c r="BA42" s="3">
        <v>23501.439999999999</v>
      </c>
      <c r="BB42" s="3">
        <v>23245.38</v>
      </c>
      <c r="BC42" s="3">
        <v>22814.81</v>
      </c>
      <c r="BD42" s="3">
        <v>22199.9</v>
      </c>
      <c r="BE42" s="3">
        <v>21352.36</v>
      </c>
      <c r="BF42" s="3">
        <v>20262.57</v>
      </c>
      <c r="BG42" s="3">
        <v>18934.05</v>
      </c>
      <c r="BH42" s="3">
        <v>17383.810000000001</v>
      </c>
      <c r="BI42" s="3">
        <v>15648.72</v>
      </c>
      <c r="BJ42" s="3">
        <v>13786.84</v>
      </c>
      <c r="BK42" s="3">
        <v>11869.83</v>
      </c>
      <c r="BL42" s="3">
        <v>9971.2999999999993</v>
      </c>
      <c r="BM42" s="3">
        <v>8158.68</v>
      </c>
      <c r="BN42" s="3">
        <v>6489.38</v>
      </c>
      <c r="BO42" s="3">
        <v>5007.24</v>
      </c>
      <c r="BP42" s="3">
        <v>3770.17</v>
      </c>
      <c r="BQ42" s="3">
        <v>2744.02</v>
      </c>
      <c r="BR42" s="3">
        <v>1953.04</v>
      </c>
      <c r="BS42" s="3">
        <v>1317.79</v>
      </c>
      <c r="BT42" s="3">
        <v>838.11</v>
      </c>
      <c r="BU42" s="3">
        <v>481.66</v>
      </c>
      <c r="BV42" s="3">
        <v>243.55</v>
      </c>
      <c r="BW42" s="3">
        <v>106.56</v>
      </c>
      <c r="BX42" s="3">
        <v>39.93</v>
      </c>
      <c r="BY42" s="3">
        <v>12.2</v>
      </c>
      <c r="BZ42" s="3">
        <v>2.8</v>
      </c>
      <c r="CA42" s="3">
        <v>0.41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3">
        <v>0</v>
      </c>
      <c r="DB42" s="3">
        <v>0</v>
      </c>
      <c r="DC42" s="3">
        <v>0</v>
      </c>
      <c r="DD42" s="3">
        <v>0</v>
      </c>
      <c r="DE42" s="3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FI42" s="3"/>
      <c r="FJ42" s="3"/>
      <c r="FK42" s="3"/>
      <c r="FL42" s="3"/>
      <c r="FM42" s="3"/>
    </row>
    <row r="43" spans="2:169" x14ac:dyDescent="0.25">
      <c r="B43">
        <f t="shared" si="9"/>
        <v>76</v>
      </c>
      <c r="C43">
        <f t="shared" si="10"/>
        <v>40</v>
      </c>
      <c r="D43" t="b">
        <f>OR(AND(B43&gt;=$C$6, C43 &gt;= $C$7), 'One ret age'!$C$5="Retired")</f>
        <v>1</v>
      </c>
      <c r="E43">
        <f>IF(D43, 0, VLOOKUP(B43, Withd!$A$2:$AZ$57, MIN(C43, 50) + 2))</f>
        <v>0</v>
      </c>
      <c r="F43">
        <f>IF(D43, VLOOKUP(B43,Ret!$A$2:$AZ$27, MIN(C43, 50) + 2), 0)</f>
        <v>1</v>
      </c>
      <c r="G43">
        <f>VLOOKUP(B43,Mort!$A$2:$E$111,IF('One ret age'!$C$6="M",2,3))</f>
        <v>7.6E-3</v>
      </c>
      <c r="H43">
        <f t="shared" si="11"/>
        <v>0</v>
      </c>
      <c r="I43">
        <f t="shared" si="12"/>
        <v>0</v>
      </c>
      <c r="K43" s="12">
        <v>97083.18</v>
      </c>
      <c r="L43" s="12">
        <v>6934.51</v>
      </c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>
        <v>0</v>
      </c>
      <c r="AT43" s="3">
        <v>22068.11</v>
      </c>
      <c r="AU43" s="3">
        <v>22647.200000000001</v>
      </c>
      <c r="AV43" s="3">
        <v>23160.71</v>
      </c>
      <c r="AW43" s="3">
        <v>23589.360000000001</v>
      </c>
      <c r="AX43" s="3">
        <v>23916.44</v>
      </c>
      <c r="AY43" s="3">
        <v>24121.39</v>
      </c>
      <c r="AZ43" s="3">
        <v>24184.07</v>
      </c>
      <c r="BA43" s="3">
        <v>24088.97</v>
      </c>
      <c r="BB43" s="3">
        <v>23826.51</v>
      </c>
      <c r="BC43" s="3">
        <v>23385.18</v>
      </c>
      <c r="BD43" s="3">
        <v>22754.89</v>
      </c>
      <c r="BE43" s="3">
        <v>21886.16</v>
      </c>
      <c r="BF43" s="3">
        <v>20769.13</v>
      </c>
      <c r="BG43" s="3">
        <v>19407.400000000001</v>
      </c>
      <c r="BH43" s="3">
        <v>17818.400000000001</v>
      </c>
      <c r="BI43" s="3">
        <v>16039.94</v>
      </c>
      <c r="BJ43" s="3">
        <v>14131.5</v>
      </c>
      <c r="BK43" s="3">
        <v>12166.57</v>
      </c>
      <c r="BL43" s="3">
        <v>10220.58</v>
      </c>
      <c r="BM43" s="3">
        <v>8362.64</v>
      </c>
      <c r="BN43" s="3">
        <v>6651.61</v>
      </c>
      <c r="BO43" s="3">
        <v>5132.42</v>
      </c>
      <c r="BP43" s="3">
        <v>3864.42</v>
      </c>
      <c r="BQ43" s="3">
        <v>2812.62</v>
      </c>
      <c r="BR43" s="3">
        <v>2001.87</v>
      </c>
      <c r="BS43" s="3">
        <v>1350.73</v>
      </c>
      <c r="BT43" s="3">
        <v>859.06</v>
      </c>
      <c r="BU43" s="3">
        <v>493.7</v>
      </c>
      <c r="BV43" s="3">
        <v>249.64</v>
      </c>
      <c r="BW43" s="3">
        <v>109.23</v>
      </c>
      <c r="BX43" s="3">
        <v>40.93</v>
      </c>
      <c r="BY43" s="3">
        <v>12.51</v>
      </c>
      <c r="BZ43" s="3">
        <v>2.87</v>
      </c>
      <c r="CA43" s="3">
        <v>0.42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FI43" s="3"/>
      <c r="FJ43" s="3"/>
      <c r="FK43" s="3"/>
      <c r="FL43" s="3"/>
      <c r="FM43" s="3"/>
    </row>
    <row r="44" spans="2:169" x14ac:dyDescent="0.25">
      <c r="B44">
        <f t="shared" si="9"/>
        <v>77</v>
      </c>
      <c r="C44">
        <f t="shared" si="10"/>
        <v>41</v>
      </c>
      <c r="D44" t="b">
        <f>OR(AND(B44&gt;=$C$6, C44 &gt;= $C$7), 'One ret age'!$C$5="Retired")</f>
        <v>1</v>
      </c>
      <c r="E44">
        <f>IF(D44, 0, VLOOKUP(B44, Withd!$A$2:$AZ$57, MIN(C44, 50) + 2))</f>
        <v>0</v>
      </c>
      <c r="F44">
        <f>IF(D44, VLOOKUP(B44,Ret!$A$2:$AZ$27, MIN(C44, 50) + 2), 0)</f>
        <v>1</v>
      </c>
      <c r="G44">
        <f>VLOOKUP(B44,Mort!$A$2:$E$111,IF('One ret age'!$C$6="M",2,3))</f>
        <v>8.1099999999999992E-3</v>
      </c>
      <c r="H44">
        <f t="shared" si="11"/>
        <v>0</v>
      </c>
      <c r="I44">
        <f t="shared" si="12"/>
        <v>0</v>
      </c>
      <c r="K44" s="12">
        <v>92664.639999999999</v>
      </c>
      <c r="L44" s="12">
        <v>6618.9</v>
      </c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>
        <v>0</v>
      </c>
      <c r="AU44" s="3">
        <v>23281.86</v>
      </c>
      <c r="AV44" s="3">
        <v>23809.77</v>
      </c>
      <c r="AW44" s="3">
        <v>24250.43</v>
      </c>
      <c r="AX44" s="3">
        <v>24586.67</v>
      </c>
      <c r="AY44" s="3">
        <v>24797.37</v>
      </c>
      <c r="AZ44" s="3">
        <v>24861.8</v>
      </c>
      <c r="BA44" s="3">
        <v>24764.04</v>
      </c>
      <c r="BB44" s="3">
        <v>24494.23</v>
      </c>
      <c r="BC44" s="3">
        <v>24040.52</v>
      </c>
      <c r="BD44" s="3">
        <v>23392.57</v>
      </c>
      <c r="BE44" s="3">
        <v>22499.5</v>
      </c>
      <c r="BF44" s="3">
        <v>21351.16</v>
      </c>
      <c r="BG44" s="3">
        <v>19951.27</v>
      </c>
      <c r="BH44" s="3">
        <v>18317.75</v>
      </c>
      <c r="BI44" s="3">
        <v>16489.439999999999</v>
      </c>
      <c r="BJ44" s="3">
        <v>14527.52</v>
      </c>
      <c r="BK44" s="3">
        <v>12507.53</v>
      </c>
      <c r="BL44" s="3">
        <v>10507</v>
      </c>
      <c r="BM44" s="3">
        <v>8596.99</v>
      </c>
      <c r="BN44" s="3">
        <v>6838.02</v>
      </c>
      <c r="BO44" s="3">
        <v>5276.25</v>
      </c>
      <c r="BP44" s="3">
        <v>3972.72</v>
      </c>
      <c r="BQ44" s="3">
        <v>2891.44</v>
      </c>
      <c r="BR44" s="3">
        <v>2057.9699999999998</v>
      </c>
      <c r="BS44" s="3">
        <v>1388.58</v>
      </c>
      <c r="BT44" s="3">
        <v>883.13</v>
      </c>
      <c r="BU44" s="3">
        <v>507.54</v>
      </c>
      <c r="BV44" s="3">
        <v>256.64</v>
      </c>
      <c r="BW44" s="3">
        <v>112.29</v>
      </c>
      <c r="BX44" s="3">
        <v>42.08</v>
      </c>
      <c r="BY44" s="3">
        <v>12.86</v>
      </c>
      <c r="BZ44" s="3">
        <v>2.95</v>
      </c>
      <c r="CA44" s="3">
        <v>0.43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3">
        <v>0</v>
      </c>
      <c r="DB44" s="3">
        <v>0</v>
      </c>
      <c r="DC44" s="3">
        <v>0</v>
      </c>
      <c r="DD44" s="3">
        <v>0</v>
      </c>
      <c r="DE44" s="3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FI44" s="3"/>
      <c r="FJ44" s="3"/>
      <c r="FK44" s="3"/>
      <c r="FL44" s="3"/>
      <c r="FM44" s="3"/>
    </row>
    <row r="45" spans="2:169" x14ac:dyDescent="0.25">
      <c r="B45">
        <f t="shared" si="9"/>
        <v>78</v>
      </c>
      <c r="C45">
        <f t="shared" si="10"/>
        <v>42</v>
      </c>
      <c r="D45" t="b">
        <f>OR(AND(B45&gt;=$C$6, C45 &gt;= $C$7), 'One ret age'!$C$5="Retired")</f>
        <v>1</v>
      </c>
      <c r="E45">
        <f>IF(D45, 0, VLOOKUP(B45, Withd!$A$2:$AZ$57, MIN(C45, 50) + 2))</f>
        <v>0</v>
      </c>
      <c r="F45">
        <f>IF(D45, VLOOKUP(B45,Ret!$A$2:$AZ$27, MIN(C45, 50) + 2), 0)</f>
        <v>1</v>
      </c>
      <c r="G45">
        <f>VLOOKUP(B45,Mort!$A$2:$E$111,IF('One ret age'!$C$6="M",2,3))</f>
        <v>8.6599999999999993E-3</v>
      </c>
      <c r="H45">
        <f t="shared" si="11"/>
        <v>0</v>
      </c>
      <c r="I45">
        <f t="shared" si="12"/>
        <v>0</v>
      </c>
      <c r="K45" s="12">
        <v>88312.15</v>
      </c>
      <c r="L45" s="12">
        <v>6308.01</v>
      </c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>
        <v>0</v>
      </c>
      <c r="AV45" s="3">
        <v>24562.36</v>
      </c>
      <c r="AW45" s="3">
        <v>25016.95</v>
      </c>
      <c r="AX45" s="3">
        <v>25363.82</v>
      </c>
      <c r="AY45" s="3">
        <v>25581.18</v>
      </c>
      <c r="AZ45" s="3">
        <v>25647.64</v>
      </c>
      <c r="BA45" s="3">
        <v>25546.79</v>
      </c>
      <c r="BB45" s="3">
        <v>25268.45</v>
      </c>
      <c r="BC45" s="3">
        <v>24800.41</v>
      </c>
      <c r="BD45" s="3">
        <v>24131.97</v>
      </c>
      <c r="BE45" s="3">
        <v>23210.67</v>
      </c>
      <c r="BF45" s="3">
        <v>22026.04</v>
      </c>
      <c r="BG45" s="3">
        <v>20581.900000000001</v>
      </c>
      <c r="BH45" s="3">
        <v>18896.740000000002</v>
      </c>
      <c r="BI45" s="3">
        <v>17010.650000000001</v>
      </c>
      <c r="BJ45" s="3">
        <v>14986.72</v>
      </c>
      <c r="BK45" s="3">
        <v>12902.87</v>
      </c>
      <c r="BL45" s="3">
        <v>10839.11</v>
      </c>
      <c r="BM45" s="3">
        <v>8868.73</v>
      </c>
      <c r="BN45" s="3">
        <v>7054.16</v>
      </c>
      <c r="BO45" s="3">
        <v>5443.03</v>
      </c>
      <c r="BP45" s="3">
        <v>4098.29</v>
      </c>
      <c r="BQ45" s="3">
        <v>2982.83</v>
      </c>
      <c r="BR45" s="3">
        <v>2123.02</v>
      </c>
      <c r="BS45" s="3">
        <v>1432.47</v>
      </c>
      <c r="BT45" s="3">
        <v>911.05</v>
      </c>
      <c r="BU45" s="3">
        <v>523.58000000000004</v>
      </c>
      <c r="BV45" s="3">
        <v>264.75</v>
      </c>
      <c r="BW45" s="3">
        <v>115.84</v>
      </c>
      <c r="BX45" s="3">
        <v>43.41</v>
      </c>
      <c r="BY45" s="3">
        <v>13.26</v>
      </c>
      <c r="BZ45" s="3">
        <v>3.04</v>
      </c>
      <c r="CA45" s="3">
        <v>0.44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3">
        <v>0</v>
      </c>
      <c r="DB45" s="3">
        <v>0</v>
      </c>
      <c r="DC45" s="3">
        <v>0</v>
      </c>
      <c r="DD45" s="3">
        <v>0</v>
      </c>
      <c r="DE45" s="3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FI45" s="3"/>
      <c r="FJ45" s="3"/>
      <c r="FK45" s="3"/>
      <c r="FL45" s="3"/>
      <c r="FM45" s="3"/>
    </row>
    <row r="46" spans="2:169" x14ac:dyDescent="0.25">
      <c r="B46">
        <f t="shared" ref="B46:B63" si="13">B45+1</f>
        <v>79</v>
      </c>
      <c r="C46">
        <f t="shared" ref="C46:C63" si="14">C45+1</f>
        <v>43</v>
      </c>
      <c r="D46" t="b">
        <f>OR(AND(B46&gt;=$C$6, C46 &gt;= $C$7), 'One ret age'!$C$5="Retired")</f>
        <v>1</v>
      </c>
      <c r="E46">
        <f>IF(D46, 0, VLOOKUP(B46, Withd!$A$2:$AZ$57, MIN(C46, 50) + 2))</f>
        <v>0</v>
      </c>
      <c r="F46">
        <f>IF(D46, VLOOKUP(B46,Ret!$A$2:$AZ$27, MIN(C46, 50) + 2), 0)</f>
        <v>1</v>
      </c>
      <c r="G46">
        <f>VLOOKUP(B46,Mort!$A$2:$E$111,IF('One ret age'!$C$6="M",2,3))</f>
        <v>9.2499999999999995E-3</v>
      </c>
      <c r="H46">
        <f t="shared" ref="H46:H63" si="15">H45*MAX(1-E45-F45-G45, 0)</f>
        <v>0</v>
      </c>
      <c r="I46">
        <f t="shared" ref="I46:I63" si="16">F46*H46</f>
        <v>0</v>
      </c>
      <c r="K46" s="12">
        <v>84045.34</v>
      </c>
      <c r="L46" s="12">
        <v>6003.24</v>
      </c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>
        <v>0</v>
      </c>
      <c r="AW46" s="3">
        <v>25913.29</v>
      </c>
      <c r="AX46" s="3">
        <v>26272.59</v>
      </c>
      <c r="AY46" s="3">
        <v>26497.73</v>
      </c>
      <c r="AZ46" s="3">
        <v>26566.58</v>
      </c>
      <c r="BA46" s="3">
        <v>26462.12</v>
      </c>
      <c r="BB46" s="3">
        <v>26173.8</v>
      </c>
      <c r="BC46" s="3">
        <v>25688.99</v>
      </c>
      <c r="BD46" s="3">
        <v>24996.61</v>
      </c>
      <c r="BE46" s="3">
        <v>24042.29</v>
      </c>
      <c r="BF46" s="3">
        <v>22815.22</v>
      </c>
      <c r="BG46" s="3">
        <v>21319.34</v>
      </c>
      <c r="BH46" s="3">
        <v>19573.8</v>
      </c>
      <c r="BI46" s="3">
        <v>17620.13</v>
      </c>
      <c r="BJ46" s="3">
        <v>15523.68</v>
      </c>
      <c r="BK46" s="3">
        <v>13365.17</v>
      </c>
      <c r="BL46" s="3">
        <v>11227.47</v>
      </c>
      <c r="BM46" s="3">
        <v>9186.49</v>
      </c>
      <c r="BN46" s="3">
        <v>7306.9</v>
      </c>
      <c r="BO46" s="3">
        <v>5638.05</v>
      </c>
      <c r="BP46" s="3">
        <v>4245.13</v>
      </c>
      <c r="BQ46" s="3">
        <v>3089.7</v>
      </c>
      <c r="BR46" s="3">
        <v>2199.08</v>
      </c>
      <c r="BS46" s="3">
        <v>1483.8</v>
      </c>
      <c r="BT46" s="3">
        <v>943.69</v>
      </c>
      <c r="BU46" s="3">
        <v>542.34</v>
      </c>
      <c r="BV46" s="3">
        <v>274.23</v>
      </c>
      <c r="BW46" s="3">
        <v>119.99</v>
      </c>
      <c r="BX46" s="3">
        <v>44.96</v>
      </c>
      <c r="BY46" s="3">
        <v>13.74</v>
      </c>
      <c r="BZ46" s="3">
        <v>3.15</v>
      </c>
      <c r="CA46" s="3">
        <v>0.46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3">
        <v>0</v>
      </c>
      <c r="DB46" s="3">
        <v>0</v>
      </c>
      <c r="DC46" s="3">
        <v>0</v>
      </c>
      <c r="DD46" s="3">
        <v>0</v>
      </c>
      <c r="DE46" s="3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FI46" s="3"/>
      <c r="FJ46" s="3"/>
      <c r="FK46" s="3"/>
      <c r="FL46" s="3"/>
      <c r="FM46" s="3"/>
    </row>
    <row r="47" spans="2:169" x14ac:dyDescent="0.25">
      <c r="B47">
        <f t="shared" si="13"/>
        <v>80</v>
      </c>
      <c r="C47">
        <f t="shared" si="14"/>
        <v>44</v>
      </c>
      <c r="D47" t="b">
        <f>OR(AND(B47&gt;=$C$6, C47 &gt;= $C$7), 'One ret age'!$C$5="Retired")</f>
        <v>1</v>
      </c>
      <c r="E47">
        <f>IF(D47, 0, VLOOKUP(B47, Withd!$A$2:$AZ$57, MIN(C47, 50) + 2))</f>
        <v>0</v>
      </c>
      <c r="F47">
        <f>IF(D47, VLOOKUP(B47,Ret!$A$2:$AZ$27, MIN(C47, 50) + 2), 0)</f>
        <v>1</v>
      </c>
      <c r="G47">
        <f>VLOOKUP(B47,Mort!$A$2:$E$111,IF('One ret age'!$C$6="M",2,3))</f>
        <v>9.9000000000000008E-3</v>
      </c>
      <c r="H47">
        <f t="shared" si="15"/>
        <v>0</v>
      </c>
      <c r="I47">
        <f t="shared" si="16"/>
        <v>0</v>
      </c>
      <c r="K47" s="12">
        <v>79868</v>
      </c>
      <c r="L47" s="12">
        <v>5704.86</v>
      </c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>
        <v>0</v>
      </c>
      <c r="AX47" s="3">
        <v>27338.52</v>
      </c>
      <c r="AY47" s="3">
        <v>27572.799999999999</v>
      </c>
      <c r="AZ47" s="3">
        <v>27644.44</v>
      </c>
      <c r="BA47" s="3">
        <v>27535.74</v>
      </c>
      <c r="BB47" s="3">
        <v>27235.72</v>
      </c>
      <c r="BC47" s="3">
        <v>26731.24</v>
      </c>
      <c r="BD47" s="3">
        <v>26010.77</v>
      </c>
      <c r="BE47" s="3">
        <v>25017.74</v>
      </c>
      <c r="BF47" s="3">
        <v>23740.880000000001</v>
      </c>
      <c r="BG47" s="3">
        <v>22184.3</v>
      </c>
      <c r="BH47" s="3">
        <v>20367.95</v>
      </c>
      <c r="BI47" s="3">
        <v>18335.009999999998</v>
      </c>
      <c r="BJ47" s="3">
        <v>16153.51</v>
      </c>
      <c r="BK47" s="3">
        <v>13907.42</v>
      </c>
      <c r="BL47" s="3">
        <v>11682.99</v>
      </c>
      <c r="BM47" s="3">
        <v>9559.2099999999991</v>
      </c>
      <c r="BN47" s="3">
        <v>7603.36</v>
      </c>
      <c r="BO47" s="3">
        <v>5866.79</v>
      </c>
      <c r="BP47" s="3">
        <v>4417.3599999999997</v>
      </c>
      <c r="BQ47" s="3">
        <v>3215.06</v>
      </c>
      <c r="BR47" s="3">
        <v>2288.3000000000002</v>
      </c>
      <c r="BS47" s="3">
        <v>1544</v>
      </c>
      <c r="BT47" s="3">
        <v>981.98</v>
      </c>
      <c r="BU47" s="3">
        <v>564.34</v>
      </c>
      <c r="BV47" s="3">
        <v>285.36</v>
      </c>
      <c r="BW47" s="3">
        <v>124.86</v>
      </c>
      <c r="BX47" s="3">
        <v>46.79</v>
      </c>
      <c r="BY47" s="3">
        <v>14.29</v>
      </c>
      <c r="BZ47" s="3">
        <v>3.28</v>
      </c>
      <c r="CA47" s="3">
        <v>0.48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3">
        <v>0</v>
      </c>
      <c r="DB47" s="3">
        <v>0</v>
      </c>
      <c r="DC47" s="3">
        <v>0</v>
      </c>
      <c r="DD47" s="3">
        <v>0</v>
      </c>
      <c r="DE47" s="3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FI47" s="3"/>
      <c r="FJ47" s="3"/>
      <c r="FK47" s="3"/>
      <c r="FL47" s="3"/>
      <c r="FM47" s="3"/>
    </row>
    <row r="48" spans="2:169" x14ac:dyDescent="0.25">
      <c r="B48">
        <f t="shared" si="13"/>
        <v>81</v>
      </c>
      <c r="C48">
        <f t="shared" si="14"/>
        <v>45</v>
      </c>
      <c r="D48" t="b">
        <f>OR(AND(B48&gt;=$C$6, C48 &gt;= $C$7), 'One ret age'!$C$5="Retired")</f>
        <v>1</v>
      </c>
      <c r="E48">
        <f>IF(D48, 0, VLOOKUP(B48, Withd!$A$2:$AZ$57, MIN(C48, 50) + 2))</f>
        <v>0</v>
      </c>
      <c r="F48">
        <f>IF(D48, VLOOKUP(B48,Ret!$A$2:$AZ$27, MIN(C48, 50) + 2), 0)</f>
        <v>1</v>
      </c>
      <c r="G48">
        <f>VLOOKUP(B48,Mort!$A$2:$E$111,IF('One ret age'!$C$6="M",2,3))</f>
        <v>0</v>
      </c>
      <c r="H48">
        <f t="shared" si="15"/>
        <v>0</v>
      </c>
      <c r="I48">
        <f t="shared" si="16"/>
        <v>0</v>
      </c>
      <c r="K48" s="12">
        <v>75792.789999999994</v>
      </c>
      <c r="L48" s="12">
        <v>5413.77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>
        <v>0</v>
      </c>
      <c r="AY48" s="3">
        <v>28842.14</v>
      </c>
      <c r="AZ48" s="3">
        <v>28917.08</v>
      </c>
      <c r="BA48" s="3">
        <v>28803.37</v>
      </c>
      <c r="BB48" s="3">
        <v>28489.55</v>
      </c>
      <c r="BC48" s="3">
        <v>27961.84</v>
      </c>
      <c r="BD48" s="3">
        <v>27208.2</v>
      </c>
      <c r="BE48" s="3">
        <v>26169.45</v>
      </c>
      <c r="BF48" s="3">
        <v>24833.81</v>
      </c>
      <c r="BG48" s="3">
        <v>23205.58</v>
      </c>
      <c r="BH48" s="3">
        <v>21305.61</v>
      </c>
      <c r="BI48" s="3">
        <v>19179.080000000002</v>
      </c>
      <c r="BJ48" s="3">
        <v>16897.150000000001</v>
      </c>
      <c r="BK48" s="3">
        <v>14547.67</v>
      </c>
      <c r="BL48" s="3">
        <v>12220.83</v>
      </c>
      <c r="BM48" s="3">
        <v>9999.2800000000007</v>
      </c>
      <c r="BN48" s="3">
        <v>7953.38</v>
      </c>
      <c r="BO48" s="3">
        <v>6136.88</v>
      </c>
      <c r="BP48" s="3">
        <v>4620.72</v>
      </c>
      <c r="BQ48" s="3">
        <v>3363.07</v>
      </c>
      <c r="BR48" s="3">
        <v>2393.65</v>
      </c>
      <c r="BS48" s="3">
        <v>1615.08</v>
      </c>
      <c r="BT48" s="3">
        <v>1027.18</v>
      </c>
      <c r="BU48" s="3">
        <v>590.32000000000005</v>
      </c>
      <c r="BV48" s="3">
        <v>298.5</v>
      </c>
      <c r="BW48" s="3">
        <v>130.6</v>
      </c>
      <c r="BX48" s="3">
        <v>48.94</v>
      </c>
      <c r="BY48" s="3">
        <v>14.95</v>
      </c>
      <c r="BZ48" s="3">
        <v>3.43</v>
      </c>
      <c r="CA48" s="3">
        <v>0.5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3">
        <v>0</v>
      </c>
      <c r="DB48" s="3">
        <v>0</v>
      </c>
      <c r="DC48" s="3">
        <v>0</v>
      </c>
      <c r="DD48" s="3">
        <v>0</v>
      </c>
      <c r="DE48" s="3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FI48" s="3"/>
      <c r="FJ48" s="3"/>
      <c r="FK48" s="3"/>
      <c r="FL48" s="3"/>
      <c r="FM48" s="3"/>
    </row>
    <row r="49" spans="2:169" x14ac:dyDescent="0.25">
      <c r="B49">
        <f t="shared" si="13"/>
        <v>82</v>
      </c>
      <c r="C49">
        <f t="shared" si="14"/>
        <v>46</v>
      </c>
      <c r="D49" t="b">
        <f>OR(AND(B49&gt;=$C$6, C49 &gt;= $C$7), 'One ret age'!$C$5="Retired")</f>
        <v>1</v>
      </c>
      <c r="E49">
        <f>IF(D49, 0, VLOOKUP(B49, Withd!$A$2:$AZ$57, MIN(C49, 50) + 2))</f>
        <v>0</v>
      </c>
      <c r="F49">
        <f>IF(D49, VLOOKUP(B49,Ret!$A$2:$AZ$27, MIN(C49, 50) + 2), 0)</f>
        <v>1</v>
      </c>
      <c r="G49">
        <f>VLOOKUP(B49,Mort!$A$2:$E$111,IF('One ret age'!$C$6="M",2,3))</f>
        <v>0</v>
      </c>
      <c r="H49">
        <f t="shared" si="15"/>
        <v>0</v>
      </c>
      <c r="I49">
        <f t="shared" si="16"/>
        <v>0</v>
      </c>
      <c r="K49" s="12">
        <v>71828.28</v>
      </c>
      <c r="L49" s="12">
        <v>5130.59</v>
      </c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>
        <v>0</v>
      </c>
      <c r="AZ49" s="3">
        <v>30428.46</v>
      </c>
      <c r="BA49" s="3">
        <v>30308.81</v>
      </c>
      <c r="BB49" s="3">
        <v>29978.59</v>
      </c>
      <c r="BC49" s="3">
        <v>29423.29</v>
      </c>
      <c r="BD49" s="3">
        <v>28630.27</v>
      </c>
      <c r="BE49" s="3">
        <v>27537.23</v>
      </c>
      <c r="BF49" s="3">
        <v>26131.78</v>
      </c>
      <c r="BG49" s="3">
        <v>24418.44</v>
      </c>
      <c r="BH49" s="3">
        <v>22419.17</v>
      </c>
      <c r="BI49" s="3">
        <v>20181.490000000002</v>
      </c>
      <c r="BJ49" s="3">
        <v>17780.3</v>
      </c>
      <c r="BK49" s="3">
        <v>15308.02</v>
      </c>
      <c r="BL49" s="3">
        <v>12859.56</v>
      </c>
      <c r="BM49" s="3">
        <v>10521.9</v>
      </c>
      <c r="BN49" s="3">
        <v>8369.08</v>
      </c>
      <c r="BO49" s="3">
        <v>6457.63</v>
      </c>
      <c r="BP49" s="3">
        <v>4862.2299999999996</v>
      </c>
      <c r="BQ49" s="3">
        <v>3538.84</v>
      </c>
      <c r="BR49" s="3">
        <v>2518.75</v>
      </c>
      <c r="BS49" s="3">
        <v>1699.49</v>
      </c>
      <c r="BT49" s="3">
        <v>1080.8699999999999</v>
      </c>
      <c r="BU49" s="3">
        <v>621.17999999999995</v>
      </c>
      <c r="BV49" s="3">
        <v>314.10000000000002</v>
      </c>
      <c r="BW49" s="3">
        <v>137.43</v>
      </c>
      <c r="BX49" s="3">
        <v>51.5</v>
      </c>
      <c r="BY49" s="3">
        <v>15.73</v>
      </c>
      <c r="BZ49" s="3">
        <v>3.61</v>
      </c>
      <c r="CA49" s="3">
        <v>0.52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3">
        <v>0</v>
      </c>
      <c r="DB49" s="3">
        <v>0</v>
      </c>
      <c r="DC49" s="3">
        <v>0</v>
      </c>
      <c r="DD49" s="3">
        <v>0</v>
      </c>
      <c r="DE49" s="3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FI49" s="3"/>
      <c r="FJ49" s="3"/>
      <c r="FK49" s="3"/>
      <c r="FL49" s="3"/>
      <c r="FM49" s="3"/>
    </row>
    <row r="50" spans="2:169" x14ac:dyDescent="0.25">
      <c r="B50">
        <f t="shared" si="13"/>
        <v>83</v>
      </c>
      <c r="C50">
        <f t="shared" si="14"/>
        <v>47</v>
      </c>
      <c r="D50" t="b">
        <f>OR(AND(B50&gt;=$C$6, C50 &gt;= $C$7), 'One ret age'!$C$5="Retired")</f>
        <v>1</v>
      </c>
      <c r="E50">
        <f>IF(D50, 0, VLOOKUP(B50, Withd!$A$2:$AZ$57, MIN(C50, 50) + 2))</f>
        <v>0</v>
      </c>
      <c r="F50">
        <f>IF(D50, VLOOKUP(B50,Ret!$A$2:$AZ$27, MIN(C50, 50) + 2), 0)</f>
        <v>1</v>
      </c>
      <c r="G50">
        <f>VLOOKUP(B50,Mort!$A$2:$E$111,IF('One ret age'!$C$6="M",2,3))</f>
        <v>0</v>
      </c>
      <c r="H50">
        <f t="shared" si="15"/>
        <v>0</v>
      </c>
      <c r="I50">
        <f t="shared" si="16"/>
        <v>0</v>
      </c>
      <c r="K50" s="12">
        <v>67969.48</v>
      </c>
      <c r="L50" s="12">
        <v>4854.96</v>
      </c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>
        <v>0</v>
      </c>
      <c r="BA50" s="3">
        <v>32102.03</v>
      </c>
      <c r="BB50" s="3">
        <v>31752.27</v>
      </c>
      <c r="BC50" s="3">
        <v>31164.12</v>
      </c>
      <c r="BD50" s="3">
        <v>30324.17</v>
      </c>
      <c r="BE50" s="3">
        <v>29166.47</v>
      </c>
      <c r="BF50" s="3">
        <v>27677.86</v>
      </c>
      <c r="BG50" s="3">
        <v>25863.16</v>
      </c>
      <c r="BH50" s="3">
        <v>23745.59</v>
      </c>
      <c r="BI50" s="3">
        <v>21375.53</v>
      </c>
      <c r="BJ50" s="3">
        <v>18832.27</v>
      </c>
      <c r="BK50" s="3">
        <v>16213.71</v>
      </c>
      <c r="BL50" s="3">
        <v>13620.4</v>
      </c>
      <c r="BM50" s="3">
        <v>11144.43</v>
      </c>
      <c r="BN50" s="3">
        <v>8864.23</v>
      </c>
      <c r="BO50" s="3">
        <v>6839.69</v>
      </c>
      <c r="BP50" s="3">
        <v>5149.8999999999996</v>
      </c>
      <c r="BQ50" s="3">
        <v>3748.22</v>
      </c>
      <c r="BR50" s="3">
        <v>2667.78</v>
      </c>
      <c r="BS50" s="3">
        <v>1800.04</v>
      </c>
      <c r="BT50" s="3">
        <v>1144.82</v>
      </c>
      <c r="BU50" s="3">
        <v>657.93</v>
      </c>
      <c r="BV50" s="3">
        <v>332.68</v>
      </c>
      <c r="BW50" s="3">
        <v>145.56</v>
      </c>
      <c r="BX50" s="3">
        <v>54.55</v>
      </c>
      <c r="BY50" s="3">
        <v>16.670000000000002</v>
      </c>
      <c r="BZ50" s="3">
        <v>3.82</v>
      </c>
      <c r="CA50" s="3">
        <v>0.56000000000000005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3">
        <v>0</v>
      </c>
      <c r="DB50" s="3">
        <v>0</v>
      </c>
      <c r="DC50" s="3">
        <v>0</v>
      </c>
      <c r="DD50" s="3">
        <v>0</v>
      </c>
      <c r="DE50" s="3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FI50" s="3"/>
      <c r="FJ50" s="3"/>
      <c r="FK50" s="3"/>
      <c r="FL50" s="3"/>
      <c r="FM50" s="3"/>
    </row>
    <row r="51" spans="2:169" x14ac:dyDescent="0.25">
      <c r="B51">
        <f t="shared" si="13"/>
        <v>84</v>
      </c>
      <c r="C51">
        <f t="shared" si="14"/>
        <v>48</v>
      </c>
      <c r="D51" t="b">
        <f>OR(AND(B51&gt;=$C$6, C51 &gt;= $C$7), 'One ret age'!$C$5="Retired")</f>
        <v>1</v>
      </c>
      <c r="E51">
        <f>IF(D51, 0, VLOOKUP(B51, Withd!$A$2:$AZ$57, MIN(C51, 50) + 2))</f>
        <v>0</v>
      </c>
      <c r="F51">
        <f>IF(D51, VLOOKUP(B51,Ret!$A$2:$AZ$27, MIN(C51, 50) + 2), 0)</f>
        <v>1</v>
      </c>
      <c r="G51">
        <f>VLOOKUP(B51,Mort!$A$2:$E$111,IF('One ret age'!$C$6="M",2,3))</f>
        <v>0</v>
      </c>
      <c r="H51">
        <f t="shared" si="15"/>
        <v>0</v>
      </c>
      <c r="I51">
        <f t="shared" si="16"/>
        <v>0</v>
      </c>
      <c r="K51" s="12">
        <v>64198.34</v>
      </c>
      <c r="L51" s="12">
        <v>4585.6000000000004</v>
      </c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>
        <v>0</v>
      </c>
      <c r="BB51" s="3">
        <v>33867.64</v>
      </c>
      <c r="BC51" s="3">
        <v>33240.31</v>
      </c>
      <c r="BD51" s="3">
        <v>32344.41</v>
      </c>
      <c r="BE51" s="3">
        <v>31109.57</v>
      </c>
      <c r="BF51" s="3">
        <v>29521.8</v>
      </c>
      <c r="BG51" s="3">
        <v>27586.19</v>
      </c>
      <c r="BH51" s="3">
        <v>25327.55</v>
      </c>
      <c r="BI51" s="3">
        <v>22799.59</v>
      </c>
      <c r="BJ51" s="3">
        <v>20086.900000000001</v>
      </c>
      <c r="BK51" s="3">
        <v>17293.89</v>
      </c>
      <c r="BL51" s="3">
        <v>14527.81</v>
      </c>
      <c r="BM51" s="3">
        <v>11886.88</v>
      </c>
      <c r="BN51" s="3">
        <v>9454.7800000000007</v>
      </c>
      <c r="BO51" s="3">
        <v>7295.36</v>
      </c>
      <c r="BP51" s="3">
        <v>5492.99</v>
      </c>
      <c r="BQ51" s="3">
        <v>3997.93</v>
      </c>
      <c r="BR51" s="3">
        <v>2845.51</v>
      </c>
      <c r="BS51" s="3">
        <v>1919.97</v>
      </c>
      <c r="BT51" s="3">
        <v>1221.0899999999999</v>
      </c>
      <c r="BU51" s="3">
        <v>701.76</v>
      </c>
      <c r="BV51" s="3">
        <v>354.85</v>
      </c>
      <c r="BW51" s="3">
        <v>155.26</v>
      </c>
      <c r="BX51" s="3">
        <v>58.18</v>
      </c>
      <c r="BY51" s="3">
        <v>17.78</v>
      </c>
      <c r="BZ51" s="3">
        <v>4.08</v>
      </c>
      <c r="CA51" s="3">
        <v>0.59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3">
        <v>0</v>
      </c>
      <c r="DB51" s="3">
        <v>0</v>
      </c>
      <c r="DC51" s="3">
        <v>0</v>
      </c>
      <c r="DD51" s="3">
        <v>0</v>
      </c>
      <c r="DE51" s="3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FI51" s="3"/>
      <c r="FJ51" s="3"/>
      <c r="FK51" s="3"/>
      <c r="FL51" s="3"/>
      <c r="FM51" s="3"/>
    </row>
    <row r="52" spans="2:169" x14ac:dyDescent="0.25">
      <c r="B52">
        <f t="shared" si="13"/>
        <v>85</v>
      </c>
      <c r="C52">
        <f t="shared" si="14"/>
        <v>49</v>
      </c>
      <c r="D52" t="b">
        <f>OR(AND(B52&gt;=$C$6, C52 &gt;= $C$7), 'One ret age'!$C$5="Retired")</f>
        <v>1</v>
      </c>
      <c r="E52">
        <f>IF(D52, 0, VLOOKUP(B52, Withd!$A$2:$AZ$57, MIN(C52, 50) + 2))</f>
        <v>0</v>
      </c>
      <c r="F52">
        <f>IF(D52, VLOOKUP(B52,Ret!$A$2:$AZ$27, MIN(C52, 50) + 2), 0)</f>
        <v>1</v>
      </c>
      <c r="G52">
        <f>VLOOKUP(B52,Mort!$A$2:$E$111,IF('One ret age'!$C$6="M",2,3))</f>
        <v>0</v>
      </c>
      <c r="H52">
        <f t="shared" si="15"/>
        <v>0</v>
      </c>
      <c r="I52">
        <f t="shared" si="16"/>
        <v>0</v>
      </c>
      <c r="K52" s="12">
        <v>60506.66</v>
      </c>
      <c r="L52" s="12">
        <v>4321.8999999999996</v>
      </c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>
        <v>0</v>
      </c>
      <c r="BC52" s="3">
        <v>35730.36</v>
      </c>
      <c r="BD52" s="3">
        <v>34767.339999999997</v>
      </c>
      <c r="BE52" s="3">
        <v>33440</v>
      </c>
      <c r="BF52" s="3">
        <v>31733.29</v>
      </c>
      <c r="BG52" s="3">
        <v>29652.69</v>
      </c>
      <c r="BH52" s="3">
        <v>27224.85</v>
      </c>
      <c r="BI52" s="3">
        <v>24507.52</v>
      </c>
      <c r="BJ52" s="3">
        <v>21591.62</v>
      </c>
      <c r="BK52" s="3">
        <v>18589.38</v>
      </c>
      <c r="BL52" s="3">
        <v>15616.09</v>
      </c>
      <c r="BM52" s="3">
        <v>12777.33</v>
      </c>
      <c r="BN52" s="3">
        <v>10163.040000000001</v>
      </c>
      <c r="BO52" s="3">
        <v>7841.86</v>
      </c>
      <c r="BP52" s="3">
        <v>5904.48</v>
      </c>
      <c r="BQ52" s="3">
        <v>4297.41</v>
      </c>
      <c r="BR52" s="3">
        <v>3058.66</v>
      </c>
      <c r="BS52" s="3">
        <v>2063.79</v>
      </c>
      <c r="BT52" s="3">
        <v>1312.56</v>
      </c>
      <c r="BU52" s="3">
        <v>754.33</v>
      </c>
      <c r="BV52" s="3">
        <v>381.43</v>
      </c>
      <c r="BW52" s="3">
        <v>166.89</v>
      </c>
      <c r="BX52" s="3">
        <v>62.54</v>
      </c>
      <c r="BY52" s="3">
        <v>19.11</v>
      </c>
      <c r="BZ52" s="3">
        <v>4.38</v>
      </c>
      <c r="CA52" s="3">
        <v>0.64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3">
        <v>0</v>
      </c>
      <c r="DB52" s="3">
        <v>0</v>
      </c>
      <c r="DC52" s="3">
        <v>0</v>
      </c>
      <c r="DD52" s="3">
        <v>0</v>
      </c>
      <c r="DE52" s="3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FI52" s="3"/>
      <c r="FJ52" s="3"/>
      <c r="FK52" s="3"/>
      <c r="FL52" s="3"/>
      <c r="FM52" s="3"/>
    </row>
    <row r="53" spans="2:169" x14ac:dyDescent="0.25">
      <c r="B53">
        <f t="shared" si="13"/>
        <v>86</v>
      </c>
      <c r="C53">
        <f t="shared" si="14"/>
        <v>50</v>
      </c>
      <c r="D53" t="b">
        <f>OR(AND(B53&gt;=$C$6, C53 &gt;= $C$7), 'One ret age'!$C$5="Retired")</f>
        <v>1</v>
      </c>
      <c r="E53">
        <f>IF(D53, 0, VLOOKUP(B53, Withd!$A$2:$AZ$57, MIN(C53, 50) + 2))</f>
        <v>0</v>
      </c>
      <c r="F53">
        <f>IF(D53, VLOOKUP(B53,Ret!$A$2:$AZ$27, MIN(C53, 50) + 2), 0)</f>
        <v>1</v>
      </c>
      <c r="G53">
        <f>VLOOKUP(B53,Mort!$A$2:$E$111,IF('One ret age'!$C$6="M",2,3))</f>
        <v>0</v>
      </c>
      <c r="H53">
        <f t="shared" si="15"/>
        <v>0</v>
      </c>
      <c r="I53">
        <f t="shared" si="16"/>
        <v>0</v>
      </c>
      <c r="K53" s="12">
        <v>56887.79</v>
      </c>
      <c r="L53" s="12">
        <v>4063.41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>
        <v>0</v>
      </c>
      <c r="BD53" s="3">
        <v>37695.53</v>
      </c>
      <c r="BE53" s="3">
        <v>36256.400000000001</v>
      </c>
      <c r="BF53" s="3">
        <v>34405.94</v>
      </c>
      <c r="BG53" s="3">
        <v>32150.11</v>
      </c>
      <c r="BH53" s="3">
        <v>29517.8</v>
      </c>
      <c r="BI53" s="3">
        <v>26571.599999999999</v>
      </c>
      <c r="BJ53" s="3">
        <v>23410.11</v>
      </c>
      <c r="BK53" s="3">
        <v>20155.03</v>
      </c>
      <c r="BL53" s="3">
        <v>16931.32</v>
      </c>
      <c r="BM53" s="3">
        <v>13853.47</v>
      </c>
      <c r="BN53" s="3">
        <v>11019</v>
      </c>
      <c r="BO53" s="3">
        <v>8502.32</v>
      </c>
      <c r="BP53" s="3">
        <v>6401.76</v>
      </c>
      <c r="BQ53" s="3">
        <v>4659.3500000000004</v>
      </c>
      <c r="BR53" s="3">
        <v>3316.27</v>
      </c>
      <c r="BS53" s="3">
        <v>2237.61</v>
      </c>
      <c r="BT53" s="3">
        <v>1423.11</v>
      </c>
      <c r="BU53" s="3">
        <v>817.86</v>
      </c>
      <c r="BV53" s="3">
        <v>413.55</v>
      </c>
      <c r="BW53" s="3">
        <v>180.95</v>
      </c>
      <c r="BX53" s="3">
        <v>67.81</v>
      </c>
      <c r="BY53" s="3">
        <v>20.72</v>
      </c>
      <c r="BZ53" s="3">
        <v>4.75</v>
      </c>
      <c r="CA53" s="3">
        <v>0.69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3">
        <v>0</v>
      </c>
      <c r="DB53" s="3">
        <v>0</v>
      </c>
      <c r="DC53" s="3">
        <v>0</v>
      </c>
      <c r="DD53" s="3">
        <v>0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FI53" s="3"/>
      <c r="FJ53" s="3"/>
      <c r="FK53" s="3"/>
      <c r="FL53" s="3"/>
      <c r="FM53" s="3"/>
    </row>
    <row r="54" spans="2:169" x14ac:dyDescent="0.25">
      <c r="B54">
        <f t="shared" si="13"/>
        <v>87</v>
      </c>
      <c r="C54">
        <f t="shared" si="14"/>
        <v>51</v>
      </c>
      <c r="D54" t="b">
        <f>OR(AND(B54&gt;=$C$6, C54 &gt;= $C$7), 'One ret age'!$C$5="Retired")</f>
        <v>1</v>
      </c>
      <c r="E54">
        <f>IF(D54, 0, VLOOKUP(B54, Withd!$A$2:$AZ$57, MIN(C54, 50) + 2))</f>
        <v>0</v>
      </c>
      <c r="F54">
        <f>IF(D54, VLOOKUP(B54,Ret!$A$2:$AZ$27, MIN(C54, 50) + 2), 0)</f>
        <v>1</v>
      </c>
      <c r="G54">
        <f>VLOOKUP(B54,Mort!$A$2:$E$111,IF('One ret age'!$C$6="M",2,3))</f>
        <v>0</v>
      </c>
      <c r="H54">
        <f t="shared" si="15"/>
        <v>0</v>
      </c>
      <c r="I54">
        <f t="shared" si="16"/>
        <v>0</v>
      </c>
      <c r="K54" s="12">
        <v>53437.87</v>
      </c>
      <c r="L54" s="12">
        <v>3816.99</v>
      </c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>
        <v>0</v>
      </c>
      <c r="BE54" s="3">
        <v>39768.78</v>
      </c>
      <c r="BF54" s="3">
        <v>37739.06</v>
      </c>
      <c r="BG54" s="3">
        <v>35264.69</v>
      </c>
      <c r="BH54" s="3">
        <v>32377.360000000001</v>
      </c>
      <c r="BI54" s="3">
        <v>29145.759999999998</v>
      </c>
      <c r="BJ54" s="3">
        <v>25677.99</v>
      </c>
      <c r="BK54" s="3">
        <v>22107.57</v>
      </c>
      <c r="BL54" s="3">
        <v>18571.560000000001</v>
      </c>
      <c r="BM54" s="3">
        <v>15195.54</v>
      </c>
      <c r="BN54" s="3">
        <v>12086.47</v>
      </c>
      <c r="BO54" s="3">
        <v>9325.99</v>
      </c>
      <c r="BP54" s="3">
        <v>7021.94</v>
      </c>
      <c r="BQ54" s="3">
        <v>5110.7299999999996</v>
      </c>
      <c r="BR54" s="3">
        <v>3637.54</v>
      </c>
      <c r="BS54" s="3">
        <v>2454.38</v>
      </c>
      <c r="BT54" s="3">
        <v>1560.98</v>
      </c>
      <c r="BU54" s="3">
        <v>897.09</v>
      </c>
      <c r="BV54" s="3">
        <v>453.62</v>
      </c>
      <c r="BW54" s="3">
        <v>198.48</v>
      </c>
      <c r="BX54" s="3">
        <v>74.37</v>
      </c>
      <c r="BY54" s="3">
        <v>22.72</v>
      </c>
      <c r="BZ54" s="3">
        <v>5.21</v>
      </c>
      <c r="CA54" s="3">
        <v>0.76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3">
        <v>0</v>
      </c>
      <c r="DB54" s="3">
        <v>0</v>
      </c>
      <c r="DC54" s="3">
        <v>0</v>
      </c>
      <c r="DD54" s="3">
        <v>0</v>
      </c>
      <c r="DE54" s="3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FI54" s="3"/>
      <c r="FJ54" s="3"/>
      <c r="FK54" s="3"/>
      <c r="FL54" s="3"/>
      <c r="FM54" s="3"/>
    </row>
    <row r="55" spans="2:169" x14ac:dyDescent="0.25">
      <c r="B55">
        <f t="shared" si="13"/>
        <v>88</v>
      </c>
      <c r="C55">
        <f t="shared" si="14"/>
        <v>52</v>
      </c>
      <c r="D55" t="b">
        <f>OR(AND(B55&gt;=$C$6, C55 &gt;= $C$7), 'One ret age'!$C$5="Retired")</f>
        <v>1</v>
      </c>
      <c r="E55">
        <f>IF(D55, 0, VLOOKUP(B55, Withd!$A$2:$AZ$57, MIN(C55, 50) + 2))</f>
        <v>0</v>
      </c>
      <c r="F55">
        <f>IF(D55, VLOOKUP(B55,Ret!$A$2:$AZ$27, MIN(C55, 50) + 2), 0)</f>
        <v>1</v>
      </c>
      <c r="G55">
        <f>VLOOKUP(B55,Mort!$A$2:$E$111,IF('One ret age'!$C$6="M",2,3))</f>
        <v>0</v>
      </c>
      <c r="H55">
        <f t="shared" si="15"/>
        <v>0</v>
      </c>
      <c r="I55">
        <f t="shared" si="16"/>
        <v>0</v>
      </c>
      <c r="K55" s="12">
        <v>50177.9</v>
      </c>
      <c r="L55" s="12">
        <v>3584.14</v>
      </c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>
        <v>0</v>
      </c>
      <c r="BF55" s="3">
        <v>41956.06</v>
      </c>
      <c r="BG55" s="3">
        <v>39205.199999999997</v>
      </c>
      <c r="BH55" s="3">
        <v>35995.25</v>
      </c>
      <c r="BI55" s="3">
        <v>32402.54</v>
      </c>
      <c r="BJ55" s="3">
        <v>28547.279999999999</v>
      </c>
      <c r="BK55" s="3">
        <v>24577.89</v>
      </c>
      <c r="BL55" s="3">
        <v>20646.759999999998</v>
      </c>
      <c r="BM55" s="3">
        <v>16893.509999999998</v>
      </c>
      <c r="BN55" s="3">
        <v>13437.03</v>
      </c>
      <c r="BO55" s="3">
        <v>10368.09</v>
      </c>
      <c r="BP55" s="3">
        <v>7806.58</v>
      </c>
      <c r="BQ55" s="3">
        <v>5681.81</v>
      </c>
      <c r="BR55" s="3">
        <v>4044</v>
      </c>
      <c r="BS55" s="3">
        <v>2728.63</v>
      </c>
      <c r="BT55" s="3">
        <v>1735.4</v>
      </c>
      <c r="BU55" s="3">
        <v>997.34</v>
      </c>
      <c r="BV55" s="3">
        <v>504.3</v>
      </c>
      <c r="BW55" s="3">
        <v>220.65</v>
      </c>
      <c r="BX55" s="3">
        <v>82.68</v>
      </c>
      <c r="BY55" s="3">
        <v>25.26</v>
      </c>
      <c r="BZ55" s="3">
        <v>5.79</v>
      </c>
      <c r="CA55" s="3">
        <v>0.84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3">
        <v>0</v>
      </c>
      <c r="DB55" s="3">
        <v>0</v>
      </c>
      <c r="DC55" s="3">
        <v>0</v>
      </c>
      <c r="DD55" s="3">
        <v>0</v>
      </c>
      <c r="DE55" s="3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FI55" s="3"/>
      <c r="FJ55" s="3"/>
      <c r="FK55" s="3"/>
      <c r="FL55" s="3"/>
      <c r="FM55" s="3"/>
    </row>
    <row r="56" spans="2:169" x14ac:dyDescent="0.25">
      <c r="B56">
        <f t="shared" si="13"/>
        <v>89</v>
      </c>
      <c r="C56">
        <f t="shared" si="14"/>
        <v>53</v>
      </c>
      <c r="D56" t="b">
        <f>OR(AND(B56&gt;=$C$6, C56 &gt;= $C$7), 'One ret age'!$C$5="Retired")</f>
        <v>1</v>
      </c>
      <c r="E56">
        <f>IF(D56, 0, VLOOKUP(B56, Withd!$A$2:$AZ$57, MIN(C56, 50) + 2))</f>
        <v>0</v>
      </c>
      <c r="F56">
        <f>IF(D56, VLOOKUP(B56,Ret!$A$2:$AZ$27, MIN(C56, 50) + 2), 0)</f>
        <v>1</v>
      </c>
      <c r="G56">
        <f>VLOOKUP(B56,Mort!$A$2:$E$111,IF('One ret age'!$C$6="M",2,3))</f>
        <v>0</v>
      </c>
      <c r="H56">
        <f t="shared" si="15"/>
        <v>0</v>
      </c>
      <c r="I56">
        <f t="shared" si="16"/>
        <v>0</v>
      </c>
      <c r="K56" s="12">
        <v>47123.9</v>
      </c>
      <c r="L56" s="12">
        <v>3365.99</v>
      </c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>
        <v>0</v>
      </c>
      <c r="BG56" s="3">
        <v>44263.65</v>
      </c>
      <c r="BH56" s="3">
        <v>40639.53</v>
      </c>
      <c r="BI56" s="3">
        <v>36583.269999999997</v>
      </c>
      <c r="BJ56" s="3">
        <v>32230.59</v>
      </c>
      <c r="BK56" s="3">
        <v>27749.05</v>
      </c>
      <c r="BL56" s="3">
        <v>23310.71</v>
      </c>
      <c r="BM56" s="3">
        <v>19073.189999999999</v>
      </c>
      <c r="BN56" s="3">
        <v>15170.74</v>
      </c>
      <c r="BO56" s="3">
        <v>11705.83</v>
      </c>
      <c r="BP56" s="3">
        <v>8813.83</v>
      </c>
      <c r="BQ56" s="3">
        <v>6414.91</v>
      </c>
      <c r="BR56" s="3">
        <v>4565.78</v>
      </c>
      <c r="BS56" s="3">
        <v>3080.7</v>
      </c>
      <c r="BT56" s="3">
        <v>1959.31</v>
      </c>
      <c r="BU56" s="3">
        <v>1126.02</v>
      </c>
      <c r="BV56" s="3">
        <v>569.37</v>
      </c>
      <c r="BW56" s="3">
        <v>249.12</v>
      </c>
      <c r="BX56" s="3">
        <v>93.35</v>
      </c>
      <c r="BY56" s="3">
        <v>28.52</v>
      </c>
      <c r="BZ56" s="3">
        <v>6.54</v>
      </c>
      <c r="CA56" s="3">
        <v>0.95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3">
        <v>0</v>
      </c>
      <c r="DB56" s="3">
        <v>0</v>
      </c>
      <c r="DC56" s="3">
        <v>0</v>
      </c>
      <c r="DD56" s="3">
        <v>0</v>
      </c>
      <c r="DE56" s="3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FI56" s="3"/>
      <c r="FJ56" s="3"/>
      <c r="FK56" s="3"/>
      <c r="FL56" s="3"/>
      <c r="FM56" s="3"/>
    </row>
    <row r="57" spans="2:169" x14ac:dyDescent="0.25">
      <c r="B57">
        <f t="shared" si="13"/>
        <v>90</v>
      </c>
      <c r="C57">
        <f t="shared" si="14"/>
        <v>54</v>
      </c>
      <c r="D57" t="b">
        <f>OR(AND(B57&gt;=$C$6, C57 &gt;= $C$7), 'One ret age'!$C$5="Retired")</f>
        <v>1</v>
      </c>
      <c r="E57">
        <f>IF(D57, 0, VLOOKUP(B57, Withd!$A$2:$AZ$57, MIN(C57, 50) + 2))</f>
        <v>0</v>
      </c>
      <c r="F57">
        <f>IF(D57, VLOOKUP(B57,Ret!$A$2:$AZ$27, MIN(C57, 50) + 2), 0)</f>
        <v>1</v>
      </c>
      <c r="G57">
        <f>VLOOKUP(B57,Mort!$A$2:$E$111,IF('One ret age'!$C$6="M",2,3))</f>
        <v>0</v>
      </c>
      <c r="H57">
        <f t="shared" si="15"/>
        <v>0</v>
      </c>
      <c r="I57">
        <f t="shared" si="16"/>
        <v>0</v>
      </c>
      <c r="K57" s="12">
        <v>44292.89</v>
      </c>
      <c r="L57" s="12">
        <v>3163.78</v>
      </c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>
        <v>0</v>
      </c>
      <c r="BH57" s="3">
        <v>46698.15</v>
      </c>
      <c r="BI57" s="3">
        <v>42037.18</v>
      </c>
      <c r="BJ57" s="3">
        <v>37035.589999999997</v>
      </c>
      <c r="BK57" s="3">
        <v>31885.93</v>
      </c>
      <c r="BL57" s="3">
        <v>26785.919999999998</v>
      </c>
      <c r="BM57" s="3">
        <v>21916.66</v>
      </c>
      <c r="BN57" s="3">
        <v>17432.419999999998</v>
      </c>
      <c r="BO57" s="3">
        <v>13450.96</v>
      </c>
      <c r="BP57" s="3">
        <v>10127.81</v>
      </c>
      <c r="BQ57" s="3">
        <v>7371.25</v>
      </c>
      <c r="BR57" s="3">
        <v>5246.46</v>
      </c>
      <c r="BS57" s="3">
        <v>3539.97</v>
      </c>
      <c r="BT57" s="3">
        <v>2251.41</v>
      </c>
      <c r="BU57" s="3">
        <v>1293.8900000000001</v>
      </c>
      <c r="BV57" s="3">
        <v>654.25</v>
      </c>
      <c r="BW57" s="3">
        <v>286.26</v>
      </c>
      <c r="BX57" s="3">
        <v>107.27</v>
      </c>
      <c r="BY57" s="3">
        <v>32.770000000000003</v>
      </c>
      <c r="BZ57" s="3">
        <v>7.51</v>
      </c>
      <c r="CA57" s="3">
        <v>1.0900000000000001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3">
        <v>0</v>
      </c>
      <c r="DB57" s="3">
        <v>0</v>
      </c>
      <c r="DC57" s="3">
        <v>0</v>
      </c>
      <c r="DD57" s="3">
        <v>0</v>
      </c>
      <c r="DE57" s="3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FI57" s="3"/>
      <c r="FJ57" s="3"/>
      <c r="FK57" s="3"/>
      <c r="FL57" s="3"/>
      <c r="FM57" s="3"/>
    </row>
    <row r="58" spans="2:169" x14ac:dyDescent="0.25">
      <c r="B58">
        <f t="shared" si="13"/>
        <v>91</v>
      </c>
      <c r="C58">
        <f t="shared" si="14"/>
        <v>55</v>
      </c>
      <c r="D58" t="b">
        <f>OR(AND(B58&gt;=$C$6, C58 &gt;= $C$7), 'One ret age'!$C$5="Retired")</f>
        <v>1</v>
      </c>
      <c r="E58">
        <f>IF(D58, 0, VLOOKUP(B58, Withd!$A$2:$AZ$57, MIN(C58, 50) + 2))</f>
        <v>0</v>
      </c>
      <c r="F58">
        <f>IF(D58, VLOOKUP(B58,Ret!$A$2:$AZ$27, MIN(C58, 50) + 2), 0)</f>
        <v>1</v>
      </c>
      <c r="G58">
        <f>VLOOKUP(B58,Mort!$A$2:$E$111,IF('One ret age'!$C$6="M",2,3))</f>
        <v>0</v>
      </c>
      <c r="H58">
        <f t="shared" si="15"/>
        <v>0</v>
      </c>
      <c r="I58">
        <f t="shared" si="16"/>
        <v>0</v>
      </c>
      <c r="K58" s="12">
        <v>41692.86</v>
      </c>
      <c r="L58" s="12">
        <v>2978.06</v>
      </c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>
        <v>0</v>
      </c>
      <c r="BI58" s="3">
        <v>49266.55</v>
      </c>
      <c r="BJ58" s="3">
        <v>43404.81</v>
      </c>
      <c r="BK58" s="3">
        <v>37369.54</v>
      </c>
      <c r="BL58" s="3">
        <v>31392.44</v>
      </c>
      <c r="BM58" s="3">
        <v>25685.79</v>
      </c>
      <c r="BN58" s="3">
        <v>20430.38</v>
      </c>
      <c r="BO58" s="3">
        <v>15764.2</v>
      </c>
      <c r="BP58" s="3">
        <v>11869.54</v>
      </c>
      <c r="BQ58" s="3">
        <v>8638.93</v>
      </c>
      <c r="BR58" s="3">
        <v>6148.72</v>
      </c>
      <c r="BS58" s="3">
        <v>4148.76</v>
      </c>
      <c r="BT58" s="3">
        <v>2638.6</v>
      </c>
      <c r="BU58" s="3">
        <v>1516.4</v>
      </c>
      <c r="BV58" s="3">
        <v>766.77</v>
      </c>
      <c r="BW58" s="3">
        <v>335.49</v>
      </c>
      <c r="BX58" s="3">
        <v>125.72</v>
      </c>
      <c r="BY58" s="3">
        <v>38.409999999999997</v>
      </c>
      <c r="BZ58" s="3">
        <v>8.81</v>
      </c>
      <c r="CA58" s="3">
        <v>1.28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3">
        <v>0</v>
      </c>
      <c r="DB58" s="3">
        <v>0</v>
      </c>
      <c r="DC58" s="3">
        <v>0</v>
      </c>
      <c r="DD58" s="3">
        <v>0</v>
      </c>
      <c r="DE58" s="3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FI58" s="3"/>
      <c r="FJ58" s="3"/>
      <c r="FK58" s="3"/>
      <c r="FL58" s="3"/>
      <c r="FM58" s="3"/>
    </row>
    <row r="59" spans="2:169" x14ac:dyDescent="0.25">
      <c r="B59">
        <f t="shared" si="13"/>
        <v>92</v>
      </c>
      <c r="C59">
        <f t="shared" si="14"/>
        <v>56</v>
      </c>
      <c r="D59" t="b">
        <f>OR(AND(B59&gt;=$C$6, C59 &gt;= $C$7), 'One ret age'!$C$5="Retired")</f>
        <v>1</v>
      </c>
      <c r="E59">
        <f>IF(D59, 0, VLOOKUP(B59, Withd!$A$2:$AZ$57, MIN(C59, 50) + 2))</f>
        <v>0</v>
      </c>
      <c r="F59">
        <f>IF(D59, VLOOKUP(B59,Ret!$A$2:$AZ$27, MIN(C59, 50) + 2), 0)</f>
        <v>1</v>
      </c>
      <c r="G59">
        <f>VLOOKUP(B59,Mort!$A$2:$E$111,IF('One ret age'!$C$6="M",2,3))</f>
        <v>0</v>
      </c>
      <c r="H59">
        <f t="shared" si="15"/>
        <v>0</v>
      </c>
      <c r="I59">
        <f t="shared" si="16"/>
        <v>0</v>
      </c>
      <c r="K59" s="12">
        <v>39315.589999999997</v>
      </c>
      <c r="L59" s="12">
        <v>2808.26</v>
      </c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>
        <v>0</v>
      </c>
      <c r="BJ59" s="3">
        <v>51976.21</v>
      </c>
      <c r="BK59" s="3">
        <v>44749.120000000003</v>
      </c>
      <c r="BL59" s="3">
        <v>37591.69</v>
      </c>
      <c r="BM59" s="3">
        <v>30758.11</v>
      </c>
      <c r="BN59" s="3">
        <v>24464.880000000001</v>
      </c>
      <c r="BO59" s="3">
        <v>18877.25</v>
      </c>
      <c r="BP59" s="3">
        <v>14213.49</v>
      </c>
      <c r="BQ59" s="3">
        <v>10344.91</v>
      </c>
      <c r="BR59" s="3">
        <v>7362.94</v>
      </c>
      <c r="BS59" s="3">
        <v>4968.04</v>
      </c>
      <c r="BT59" s="3">
        <v>3159.65</v>
      </c>
      <c r="BU59" s="3">
        <v>1815.86</v>
      </c>
      <c r="BV59" s="3">
        <v>918.19</v>
      </c>
      <c r="BW59" s="3">
        <v>401.74</v>
      </c>
      <c r="BX59" s="3">
        <v>150.54</v>
      </c>
      <c r="BY59" s="3">
        <v>46</v>
      </c>
      <c r="BZ59" s="3">
        <v>10.55</v>
      </c>
      <c r="CA59" s="3">
        <v>1.53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3">
        <v>0</v>
      </c>
      <c r="DB59" s="3">
        <v>0</v>
      </c>
      <c r="DC59" s="3">
        <v>0</v>
      </c>
      <c r="DD59" s="3">
        <v>0</v>
      </c>
      <c r="DE59" s="3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FI59" s="3"/>
      <c r="FJ59" s="3"/>
      <c r="FK59" s="3"/>
      <c r="FL59" s="3"/>
      <c r="FM59" s="3"/>
    </row>
    <row r="60" spans="2:169" x14ac:dyDescent="0.25">
      <c r="B60">
        <f t="shared" si="13"/>
        <v>93</v>
      </c>
      <c r="C60">
        <f t="shared" si="14"/>
        <v>57</v>
      </c>
      <c r="D60" t="b">
        <f>OR(AND(B60&gt;=$C$6, C60 &gt;= $C$7), 'One ret age'!$C$5="Retired")</f>
        <v>1</v>
      </c>
      <c r="E60">
        <f>IF(D60, 0, VLOOKUP(B60, Withd!$A$2:$AZ$57, MIN(C60, 50) + 2))</f>
        <v>0</v>
      </c>
      <c r="F60">
        <f>IF(D60, VLOOKUP(B60,Ret!$A$2:$AZ$27, MIN(C60, 50) + 2), 0)</f>
        <v>1</v>
      </c>
      <c r="G60">
        <f>VLOOKUP(B60,Mort!$A$2:$E$111,IF('One ret age'!$C$6="M",2,3))</f>
        <v>0</v>
      </c>
      <c r="H60">
        <f t="shared" si="15"/>
        <v>0</v>
      </c>
      <c r="I60">
        <f t="shared" si="16"/>
        <v>0</v>
      </c>
      <c r="K60" s="12">
        <v>37140.94</v>
      </c>
      <c r="L60" s="12">
        <v>2652.92</v>
      </c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>
        <v>0</v>
      </c>
      <c r="BK60" s="3">
        <v>54834.9</v>
      </c>
      <c r="BL60" s="3">
        <v>46064.29</v>
      </c>
      <c r="BM60" s="3">
        <v>37690.53</v>
      </c>
      <c r="BN60" s="3">
        <v>29978.9</v>
      </c>
      <c r="BO60" s="3">
        <v>23131.9</v>
      </c>
      <c r="BP60" s="3">
        <v>17417</v>
      </c>
      <c r="BQ60" s="3">
        <v>12676.5</v>
      </c>
      <c r="BR60" s="3">
        <v>9022.44</v>
      </c>
      <c r="BS60" s="3">
        <v>6087.76</v>
      </c>
      <c r="BT60" s="3">
        <v>3871.79</v>
      </c>
      <c r="BU60" s="3">
        <v>2225.12</v>
      </c>
      <c r="BV60" s="3">
        <v>1125.1400000000001</v>
      </c>
      <c r="BW60" s="3">
        <v>492.29</v>
      </c>
      <c r="BX60" s="3">
        <v>184.47</v>
      </c>
      <c r="BY60" s="3">
        <v>56.36</v>
      </c>
      <c r="BZ60" s="3">
        <v>12.92</v>
      </c>
      <c r="CA60" s="3">
        <v>1.88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">
        <v>0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3">
        <v>0</v>
      </c>
      <c r="DB60" s="3">
        <v>0</v>
      </c>
      <c r="DC60" s="3">
        <v>0</v>
      </c>
      <c r="DD60" s="3">
        <v>0</v>
      </c>
      <c r="DE60" s="3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FI60" s="3"/>
      <c r="FJ60" s="3"/>
      <c r="FK60" s="3"/>
      <c r="FL60" s="3"/>
      <c r="FM60" s="3"/>
    </row>
    <row r="61" spans="2:169" x14ac:dyDescent="0.25">
      <c r="B61">
        <f t="shared" si="13"/>
        <v>94</v>
      </c>
      <c r="C61">
        <f t="shared" si="14"/>
        <v>58</v>
      </c>
      <c r="D61" t="b">
        <f>OR(AND(B61&gt;=$C$6, C61 &gt;= $C$7), 'One ret age'!$C$5="Retired")</f>
        <v>1</v>
      </c>
      <c r="E61">
        <f>IF(D61, 0, VLOOKUP(B61, Withd!$A$2:$AZ$57, MIN(C61, 50) + 2))</f>
        <v>0</v>
      </c>
      <c r="F61">
        <f>IF(D61, VLOOKUP(B61,Ret!$A$2:$AZ$27, MIN(C61, 50) + 2), 0)</f>
        <v>1</v>
      </c>
      <c r="G61">
        <f>VLOOKUP(B61,Mort!$A$2:$E$111,IF('One ret age'!$C$6="M",2,3))</f>
        <v>0</v>
      </c>
      <c r="H61">
        <f t="shared" si="15"/>
        <v>0</v>
      </c>
      <c r="I61">
        <f t="shared" si="16"/>
        <v>0</v>
      </c>
      <c r="K61" s="12">
        <v>35148.75</v>
      </c>
      <c r="L61" s="12">
        <v>2510.63</v>
      </c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>
        <v>0</v>
      </c>
      <c r="BL61" s="3">
        <v>57850.82</v>
      </c>
      <c r="BM61" s="3">
        <v>47334.45</v>
      </c>
      <c r="BN61" s="3">
        <v>37649.64</v>
      </c>
      <c r="BO61" s="3">
        <v>29050.68</v>
      </c>
      <c r="BP61" s="3">
        <v>21873.51</v>
      </c>
      <c r="BQ61" s="3">
        <v>15920.05</v>
      </c>
      <c r="BR61" s="3">
        <v>11331.02</v>
      </c>
      <c r="BS61" s="3">
        <v>7645.45</v>
      </c>
      <c r="BT61" s="3">
        <v>4862.47</v>
      </c>
      <c r="BU61" s="3">
        <v>2794.47</v>
      </c>
      <c r="BV61" s="3">
        <v>1413.02</v>
      </c>
      <c r="BW61" s="3">
        <v>618.26</v>
      </c>
      <c r="BX61" s="3">
        <v>231.68</v>
      </c>
      <c r="BY61" s="3">
        <v>70.78</v>
      </c>
      <c r="BZ61" s="3">
        <v>16.23</v>
      </c>
      <c r="CA61" s="3">
        <v>2.36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">
        <v>0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3">
        <v>0</v>
      </c>
      <c r="DB61" s="3">
        <v>0</v>
      </c>
      <c r="DC61" s="3">
        <v>0</v>
      </c>
      <c r="DD61" s="3">
        <v>0</v>
      </c>
      <c r="DE61" s="3">
        <v>0</v>
      </c>
      <c r="DF61" s="3">
        <v>0</v>
      </c>
      <c r="DG61" s="3">
        <v>0</v>
      </c>
      <c r="DH61" s="3">
        <v>0</v>
      </c>
      <c r="DI61" s="3">
        <v>0</v>
      </c>
      <c r="DJ61" s="3">
        <v>0</v>
      </c>
      <c r="FI61" s="3"/>
      <c r="FJ61" s="3"/>
      <c r="FK61" s="3"/>
      <c r="FL61" s="3"/>
      <c r="FM61" s="3"/>
    </row>
    <row r="62" spans="2:169" x14ac:dyDescent="0.25">
      <c r="B62">
        <f t="shared" si="13"/>
        <v>95</v>
      </c>
      <c r="C62">
        <f t="shared" si="14"/>
        <v>59</v>
      </c>
      <c r="D62" t="b">
        <f>OR(AND(B62&gt;=$C$6, C62 &gt;= $C$7), 'One ret age'!$C$5="Retired")</f>
        <v>1</v>
      </c>
      <c r="E62">
        <f>IF(D62, 0, VLOOKUP(B62, Withd!$A$2:$AZ$57, MIN(C62, 50) + 2))</f>
        <v>0</v>
      </c>
      <c r="F62">
        <f>IF(D62, VLOOKUP(B62,Ret!$A$2:$AZ$27, MIN(C62, 50) + 2), 0)</f>
        <v>1</v>
      </c>
      <c r="G62">
        <f>VLOOKUP(B62,Mort!$A$2:$E$111,IF('One ret age'!$C$6="M",2,3))</f>
        <v>0</v>
      </c>
      <c r="H62">
        <f t="shared" si="15"/>
        <v>0</v>
      </c>
      <c r="I62">
        <f t="shared" si="16"/>
        <v>0</v>
      </c>
      <c r="K62" s="12">
        <v>33324.839999999997</v>
      </c>
      <c r="L62" s="12">
        <v>2380.35</v>
      </c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>
        <v>0</v>
      </c>
      <c r="BM62" s="3">
        <v>61032.61</v>
      </c>
      <c r="BN62" s="3">
        <v>48545.1</v>
      </c>
      <c r="BO62" s="3">
        <v>37457.69</v>
      </c>
      <c r="BP62" s="3">
        <v>28203.5</v>
      </c>
      <c r="BQ62" s="3">
        <v>20527.169999999998</v>
      </c>
      <c r="BR62" s="3">
        <v>14610.11</v>
      </c>
      <c r="BS62" s="3">
        <v>9857.9699999999993</v>
      </c>
      <c r="BT62" s="3">
        <v>6269.63</v>
      </c>
      <c r="BU62" s="3">
        <v>3603.16</v>
      </c>
      <c r="BV62" s="3">
        <v>1821.94</v>
      </c>
      <c r="BW62" s="3">
        <v>797.17</v>
      </c>
      <c r="BX62" s="3">
        <v>298.72000000000003</v>
      </c>
      <c r="BY62" s="3">
        <v>91.27</v>
      </c>
      <c r="BZ62" s="3">
        <v>20.93</v>
      </c>
      <c r="CA62" s="3">
        <v>3.04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">
        <v>0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3">
        <v>0</v>
      </c>
      <c r="DB62" s="3">
        <v>0</v>
      </c>
      <c r="DC62" s="3">
        <v>0</v>
      </c>
      <c r="DD62" s="3">
        <v>0</v>
      </c>
      <c r="DE62" s="3">
        <v>0</v>
      </c>
      <c r="DF62" s="3">
        <v>0</v>
      </c>
      <c r="DG62" s="3">
        <v>0</v>
      </c>
      <c r="DH62" s="3">
        <v>0</v>
      </c>
      <c r="DI62" s="3">
        <v>0</v>
      </c>
      <c r="DJ62" s="3">
        <v>0</v>
      </c>
      <c r="FI62" s="3"/>
      <c r="FJ62" s="3"/>
      <c r="FK62" s="3"/>
      <c r="FL62" s="3"/>
      <c r="FM62" s="3"/>
    </row>
    <row r="63" spans="2:169" x14ac:dyDescent="0.25">
      <c r="B63">
        <f t="shared" si="13"/>
        <v>96</v>
      </c>
      <c r="C63">
        <f t="shared" si="14"/>
        <v>60</v>
      </c>
      <c r="D63" t="b">
        <f>OR(AND(B63&gt;=$C$6, C63 &gt;= $C$7), 'One ret age'!$C$5="Retired")</f>
        <v>1</v>
      </c>
      <c r="E63">
        <f>IF(D63, 0, VLOOKUP(B63, Withd!$A$2:$AZ$57, MIN(C63, 50) + 2))</f>
        <v>0</v>
      </c>
      <c r="F63">
        <f>IF(D63, VLOOKUP(B63,Ret!$A$2:$AZ$27, MIN(C63, 50) + 2), 0)</f>
        <v>1</v>
      </c>
      <c r="G63">
        <f>VLOOKUP(B63,Mort!$A$2:$E$111,IF('One ret age'!$C$6="M",2,3))</f>
        <v>0</v>
      </c>
      <c r="H63">
        <f t="shared" si="15"/>
        <v>0</v>
      </c>
      <c r="I63">
        <f t="shared" si="16"/>
        <v>0</v>
      </c>
      <c r="K63" s="12">
        <v>31659.57</v>
      </c>
      <c r="L63" s="12">
        <v>2261.4</v>
      </c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>
        <v>0</v>
      </c>
      <c r="BN63" s="3">
        <v>64389.4</v>
      </c>
      <c r="BO63" s="3">
        <v>49683.24</v>
      </c>
      <c r="BP63" s="3">
        <v>37408.65</v>
      </c>
      <c r="BQ63" s="3">
        <v>27226.89</v>
      </c>
      <c r="BR63" s="3">
        <v>19378.61</v>
      </c>
      <c r="BS63" s="3">
        <v>13075.44</v>
      </c>
      <c r="BT63" s="3">
        <v>8315.93</v>
      </c>
      <c r="BU63" s="3">
        <v>4779.17</v>
      </c>
      <c r="BV63" s="3">
        <v>2416.59</v>
      </c>
      <c r="BW63" s="3">
        <v>1057.3599999999999</v>
      </c>
      <c r="BX63" s="3">
        <v>396.22</v>
      </c>
      <c r="BY63" s="3">
        <v>121.06</v>
      </c>
      <c r="BZ63" s="3">
        <v>27.76</v>
      </c>
      <c r="CA63" s="3">
        <v>4.03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">
        <v>0</v>
      </c>
      <c r="CT63" s="3">
        <v>0</v>
      </c>
      <c r="CU63" s="3">
        <v>0</v>
      </c>
      <c r="CV63" s="3">
        <v>0</v>
      </c>
      <c r="CW63" s="3">
        <v>0</v>
      </c>
      <c r="CX63" s="3">
        <v>0</v>
      </c>
      <c r="CY63" s="3">
        <v>0</v>
      </c>
      <c r="CZ63" s="3">
        <v>0</v>
      </c>
      <c r="DA63" s="3">
        <v>0</v>
      </c>
      <c r="DB63" s="3">
        <v>0</v>
      </c>
      <c r="DC63" s="3">
        <v>0</v>
      </c>
      <c r="DD63" s="3">
        <v>0</v>
      </c>
      <c r="DE63" s="3">
        <v>0</v>
      </c>
      <c r="DF63" s="3">
        <v>0</v>
      </c>
      <c r="DG63" s="3">
        <v>0</v>
      </c>
      <c r="DH63" s="3">
        <v>0</v>
      </c>
      <c r="DI63" s="3">
        <v>0</v>
      </c>
      <c r="DJ63" s="3">
        <v>0</v>
      </c>
      <c r="FI63" s="3">
        <v>0</v>
      </c>
      <c r="FJ63" s="3"/>
      <c r="FK63" s="3"/>
      <c r="FL63" s="3"/>
      <c r="FM63" s="3">
        <v>0</v>
      </c>
    </row>
    <row r="64" spans="2:169" x14ac:dyDescent="0.25">
      <c r="O64" s="3">
        <v>53453.53</v>
      </c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</row>
    <row r="65" spans="15:169" x14ac:dyDescent="0.25">
      <c r="O65" s="3">
        <v>55268.43</v>
      </c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</row>
    <row r="66" spans="15:169" x14ac:dyDescent="0.25">
      <c r="O66" s="3">
        <v>57022.49</v>
      </c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</row>
    <row r="67" spans="15:169" x14ac:dyDescent="0.25">
      <c r="O67" s="3">
        <v>58691.46</v>
      </c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</row>
    <row r="68" spans="15:169" x14ac:dyDescent="0.25">
      <c r="O68" s="3">
        <v>60231.56</v>
      </c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</row>
    <row r="69" spans="15:169" x14ac:dyDescent="0.25">
      <c r="O69" s="3">
        <v>61597.3</v>
      </c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</row>
    <row r="70" spans="15:169" x14ac:dyDescent="0.25">
      <c r="O70" s="3">
        <v>62737.32</v>
      </c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</row>
    <row r="71" spans="15:169" x14ac:dyDescent="0.25">
      <c r="O71" s="3">
        <v>63607.199999999997</v>
      </c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</row>
    <row r="72" spans="15:169" x14ac:dyDescent="0.25">
      <c r="O72" s="3">
        <v>64152.28</v>
      </c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</row>
    <row r="73" spans="15:169" x14ac:dyDescent="0.25">
      <c r="O73" s="3">
        <v>64318.96</v>
      </c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</row>
    <row r="74" spans="15:169" x14ac:dyDescent="0.25">
      <c r="O74" s="3">
        <v>64066.04</v>
      </c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</row>
    <row r="75" spans="15:169" x14ac:dyDescent="0.25">
      <c r="O75" s="3">
        <v>63368.02</v>
      </c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</row>
    <row r="76" spans="15:169" x14ac:dyDescent="0.25">
      <c r="O76" s="3">
        <v>62194.26</v>
      </c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</row>
    <row r="77" spans="15:169" x14ac:dyDescent="0.25">
      <c r="O77" s="3">
        <v>60517.97</v>
      </c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</row>
    <row r="78" spans="15:169" x14ac:dyDescent="0.25">
      <c r="O78" s="3">
        <v>58207.54</v>
      </c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</row>
    <row r="79" spans="15:169" x14ac:dyDescent="0.25">
      <c r="O79" s="3">
        <v>55236.74</v>
      </c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</row>
    <row r="80" spans="15:169" x14ac:dyDescent="0.25">
      <c r="O80" s="3">
        <v>51615.12</v>
      </c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</row>
    <row r="81" spans="15:169" x14ac:dyDescent="0.25">
      <c r="O81" s="3">
        <v>47389.1</v>
      </c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</row>
    <row r="82" spans="15:169" x14ac:dyDescent="0.25">
      <c r="O82" s="3">
        <v>42659.16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</row>
    <row r="83" spans="15:169" x14ac:dyDescent="0.25">
      <c r="O83" s="3">
        <v>37583.57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</row>
    <row r="84" spans="15:169" x14ac:dyDescent="0.25">
      <c r="O84" s="3">
        <v>32357.72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</row>
    <row r="85" spans="15:169" x14ac:dyDescent="0.25">
      <c r="O85" s="3">
        <v>27182.240000000002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</row>
    <row r="86" spans="15:169" x14ac:dyDescent="0.25">
      <c r="O86" s="3">
        <v>22240.94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</row>
    <row r="87" spans="15:169" x14ac:dyDescent="0.25">
      <c r="O87" s="3">
        <v>17690.36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</row>
    <row r="88" spans="15:169" x14ac:dyDescent="0.25">
      <c r="O88" s="3">
        <v>13649.98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</row>
    <row r="89" spans="15:169" x14ac:dyDescent="0.25">
      <c r="O89" s="3">
        <v>10277.66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</row>
    <row r="90" spans="15:169" x14ac:dyDescent="0.25">
      <c r="O90" s="3">
        <v>7480.32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</row>
    <row r="91" spans="15:169" x14ac:dyDescent="0.25">
      <c r="O91" s="3">
        <v>5324.08</v>
      </c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</row>
    <row r="92" spans="15:169" x14ac:dyDescent="0.25">
      <c r="O92" s="3">
        <v>3592.35</v>
      </c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</row>
    <row r="93" spans="15:169" x14ac:dyDescent="0.25">
      <c r="O93" s="3">
        <v>2284.7199999999998</v>
      </c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</row>
    <row r="94" spans="15:169" x14ac:dyDescent="0.25">
      <c r="O94" s="3">
        <v>1313.03</v>
      </c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</row>
    <row r="95" spans="15:169" x14ac:dyDescent="0.25">
      <c r="O95" s="3">
        <v>663.94</v>
      </c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</row>
    <row r="96" spans="15:169" x14ac:dyDescent="0.25">
      <c r="O96" s="3">
        <v>290.5</v>
      </c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</row>
    <row r="97" spans="15:169" x14ac:dyDescent="0.25">
      <c r="O97" s="3">
        <v>108.86</v>
      </c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</row>
    <row r="98" spans="15:169" x14ac:dyDescent="0.25">
      <c r="O98" s="3">
        <v>33.26</v>
      </c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</row>
    <row r="99" spans="15:169" x14ac:dyDescent="0.25">
      <c r="O99" s="3">
        <v>7.63</v>
      </c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</row>
    <row r="100" spans="15:169" x14ac:dyDescent="0.25">
      <c r="O100" s="3">
        <v>1.1100000000000001</v>
      </c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</row>
    <row r="101" spans="15:169" x14ac:dyDescent="0.25">
      <c r="O101" s="3">
        <v>0</v>
      </c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</row>
    <row r="102" spans="15:169" x14ac:dyDescent="0.25">
      <c r="O102" s="3">
        <v>0</v>
      </c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</row>
    <row r="103" spans="15:169" x14ac:dyDescent="0.25">
      <c r="O103" s="3">
        <v>0</v>
      </c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</row>
    <row r="104" spans="15:169" x14ac:dyDescent="0.25">
      <c r="O104" s="3">
        <v>0</v>
      </c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</row>
    <row r="105" spans="15:169" x14ac:dyDescent="0.25">
      <c r="O105" s="3">
        <v>0</v>
      </c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</row>
    <row r="106" spans="15:169" x14ac:dyDescent="0.25">
      <c r="O106" s="3">
        <v>0</v>
      </c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</row>
    <row r="107" spans="15:169" x14ac:dyDescent="0.25">
      <c r="O107" s="3">
        <v>0</v>
      </c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</row>
    <row r="108" spans="15:169" x14ac:dyDescent="0.25">
      <c r="O108" s="3">
        <v>0</v>
      </c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</row>
    <row r="109" spans="15:169" x14ac:dyDescent="0.25">
      <c r="O109" s="3">
        <v>0</v>
      </c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</row>
    <row r="110" spans="15:169" x14ac:dyDescent="0.25">
      <c r="O110" s="3">
        <v>0</v>
      </c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</row>
    <row r="111" spans="15:169" x14ac:dyDescent="0.25">
      <c r="O111" s="3">
        <v>0</v>
      </c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</row>
    <row r="112" spans="15:169" x14ac:dyDescent="0.25">
      <c r="O112" s="3">
        <v>0</v>
      </c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Individual">
                <anchor moveWithCells="1" sizeWithCells="1">
                  <from>
                    <xdr:col>5</xdr:col>
                    <xdr:colOff>9525</xdr:colOff>
                    <xdr:row>3</xdr:row>
                    <xdr:rowOff>171450</xdr:rowOff>
                  </from>
                  <to>
                    <xdr:col>6</xdr:col>
                    <xdr:colOff>590550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EA53D-ADD9-47E4-8766-1CF589872B50}">
  <sheetPr codeName="Sheet10"/>
  <dimension ref="B2:P109"/>
  <sheetViews>
    <sheetView workbookViewId="0"/>
  </sheetViews>
  <sheetFormatPr defaultRowHeight="15" x14ac:dyDescent="0.25"/>
  <cols>
    <col min="4" max="4" width="12" bestFit="1" customWidth="1"/>
    <col min="5" max="5" width="10.85546875" customWidth="1"/>
    <col min="6" max="6" width="11.140625" bestFit="1" customWidth="1"/>
    <col min="7" max="7" width="10.85546875" bestFit="1" customWidth="1"/>
    <col min="8" max="8" width="8.28515625" bestFit="1" customWidth="1"/>
    <col min="10" max="10" width="11.85546875" bestFit="1" customWidth="1"/>
    <col min="11" max="12" width="11.140625" bestFit="1" customWidth="1"/>
  </cols>
  <sheetData>
    <row r="2" spans="2:16" x14ac:dyDescent="0.25">
      <c r="C2" s="2" t="s">
        <v>111</v>
      </c>
    </row>
    <row r="4" spans="2:16" x14ac:dyDescent="0.25">
      <c r="C4" t="s">
        <v>3</v>
      </c>
      <c r="D4">
        <f>'One ret age'!C4</f>
        <v>1</v>
      </c>
      <c r="N4" t="s">
        <v>189</v>
      </c>
    </row>
    <row r="5" spans="2:16" x14ac:dyDescent="0.25">
      <c r="J5" t="s">
        <v>190</v>
      </c>
      <c r="K5" t="s">
        <v>191</v>
      </c>
      <c r="L5" t="s">
        <v>192</v>
      </c>
    </row>
    <row r="6" spans="2:16" x14ac:dyDescent="0.25">
      <c r="C6" t="s">
        <v>110</v>
      </c>
      <c r="I6" t="s">
        <v>21</v>
      </c>
      <c r="J6" s="3">
        <f>'One person'!K10</f>
        <v>156035.73000000001</v>
      </c>
      <c r="K6" s="3">
        <f>NPV(Assumptions!$C$9+0.01,'One person'!$O$10:$DJ$10)*(1.01+Assumptions!$C$9)</f>
        <v>119359.686597832</v>
      </c>
      <c r="L6" s="3">
        <f>NPV(Assumptions!$C$9-0.01,'One person'!$O$10:$DJ$10)*(0.99+Assumptions!$C$9)</f>
        <v>206644.59718672451</v>
      </c>
      <c r="O6" s="27" t="s">
        <v>187</v>
      </c>
      <c r="P6" s="27" t="s">
        <v>188</v>
      </c>
    </row>
    <row r="7" spans="2:16" x14ac:dyDescent="0.25">
      <c r="B7" t="s">
        <v>88</v>
      </c>
      <c r="C7">
        <f>VLOOKUP('One ret age'!$C$7,$B$14:$J$64,7)*I14</f>
        <v>0.5988685445754004</v>
      </c>
      <c r="D7" t="s">
        <v>107</v>
      </c>
      <c r="I7" s="8" t="s">
        <v>26</v>
      </c>
      <c r="J7" s="19">
        <f>J6-J8*C8</f>
        <v>50629.630709477744</v>
      </c>
      <c r="K7" s="19">
        <f>K6-K8*O8</f>
        <v>36995.433739666551</v>
      </c>
      <c r="L7" s="19">
        <f>L6-L8*P8</f>
        <v>70497.697236868495</v>
      </c>
      <c r="N7" t="s">
        <v>88</v>
      </c>
      <c r="O7">
        <f>VLOOKUP('One ret age'!$C$7,$B$14:$J$64,7)*O14</f>
        <v>0.65912956748446705</v>
      </c>
      <c r="P7">
        <f>VLOOKUP('One ret age'!$C$7,$B$14:$J$64,7)*P14</f>
        <v>0.54361209877285854</v>
      </c>
    </row>
    <row r="8" spans="2:16" x14ac:dyDescent="0.25">
      <c r="B8" t="s">
        <v>89</v>
      </c>
      <c r="C8">
        <f>SUMPRODUCT('One person'!$H$13:$H$63,I14:I64,$J$14:$J$64)/I14/$J$14</f>
        <v>13.626415660732977</v>
      </c>
      <c r="D8" t="s">
        <v>108</v>
      </c>
      <c r="I8" s="8" t="s">
        <v>27</v>
      </c>
      <c r="J8" s="19">
        <f>IF('One ret age'!$C$5="Active", J6*C7/C9, 0)</f>
        <v>7735.4237471464585</v>
      </c>
      <c r="K8" s="19">
        <f>IF('One ret age'!$C$5="Active", K6*O7/O9, 0)</f>
        <v>6511.2504884493555</v>
      </c>
      <c r="L8" s="19">
        <f>IF('One ret age'!$C$5="Active", L6*P7/P9, 0)</f>
        <v>9241.0751090228441</v>
      </c>
      <c r="N8" t="s">
        <v>89</v>
      </c>
      <c r="O8">
        <f>SUMPRODUCT('One person'!$H$13:$H$63,O14:O64,$J$14:$J$64)/O14/$J$14</f>
        <v>12.649529150241671</v>
      </c>
      <c r="P8">
        <f>SUMPRODUCT('One person'!$H$13:$H$63,P14:P64,$J$14:$J$64)/P14/$J$14</f>
        <v>14.732798764607406</v>
      </c>
    </row>
    <row r="9" spans="2:16" x14ac:dyDescent="0.25">
      <c r="B9" t="s">
        <v>90</v>
      </c>
      <c r="C9">
        <f>SUMPRODUCT($H$14:$H$64,I14:I64,$J$14:$J$64)</f>
        <v>12.080125611907336</v>
      </c>
      <c r="D9" t="s">
        <v>109</v>
      </c>
      <c r="N9" t="s">
        <v>90</v>
      </c>
      <c r="O9">
        <f>SUMPRODUCT($H$14:$H$64,O14:O64,$J$14:$J$64)</f>
        <v>12.082701892957971</v>
      </c>
      <c r="P9">
        <f>SUMPRODUCT($H$14:$H$64,P14:P64,$J$14:$J$64)</f>
        <v>12.155999367115365</v>
      </c>
    </row>
    <row r="10" spans="2:16" x14ac:dyDescent="0.25">
      <c r="C10" s="12"/>
      <c r="D10" s="12"/>
      <c r="E10" s="12"/>
      <c r="F10" s="12"/>
      <c r="G10" s="12"/>
      <c r="H10" s="3"/>
      <c r="J10" s="3"/>
    </row>
    <row r="11" spans="2:16" x14ac:dyDescent="0.25">
      <c r="E11" s="12"/>
      <c r="F11" s="12"/>
      <c r="G11" s="12"/>
      <c r="J11" s="12"/>
    </row>
    <row r="12" spans="2:16" x14ac:dyDescent="0.25">
      <c r="E12" t="s">
        <v>56</v>
      </c>
      <c r="O12" t="s">
        <v>186</v>
      </c>
    </row>
    <row r="13" spans="2:16" x14ac:dyDescent="0.25">
      <c r="B13" t="s">
        <v>5</v>
      </c>
      <c r="C13" t="s">
        <v>6</v>
      </c>
      <c r="D13" t="s">
        <v>55</v>
      </c>
      <c r="E13" t="s">
        <v>52</v>
      </c>
      <c r="F13" t="s">
        <v>53</v>
      </c>
      <c r="G13" t="s">
        <v>47</v>
      </c>
      <c r="H13" t="s">
        <v>20</v>
      </c>
      <c r="I13" s="12" t="s">
        <v>73</v>
      </c>
      <c r="J13" s="12" t="s">
        <v>87</v>
      </c>
      <c r="O13" s="27" t="s">
        <v>187</v>
      </c>
      <c r="P13" s="27" t="s">
        <v>188</v>
      </c>
    </row>
    <row r="14" spans="2:16" x14ac:dyDescent="0.25">
      <c r="B14">
        <f>'One ret age'!C9</f>
        <v>36</v>
      </c>
      <c r="C14" s="9">
        <v>0</v>
      </c>
      <c r="D14" t="b">
        <f>OR(AND(B14 &gt;= 'One person'!$C$6, C14 &gt;= 'One person'!$C$7), 'One ret age'!$C$5="Retired")</f>
        <v>0</v>
      </c>
      <c r="E14">
        <f>IF(D14, 0, VLOOKUP(B14, Withd!$A$2:$AZ$57, MIN(C14, 50) + 2))</f>
        <v>0.15240000000000001</v>
      </c>
      <c r="F14">
        <f>IF(D14, VLOOKUP(B14,Ret!$A$2:$AZ$27, MIN(C14, 50) + 2), 0)</f>
        <v>0</v>
      </c>
      <c r="G14">
        <f>VLOOKUP(B14,Mort!$A$2:$E$111,IF('One ret age'!$C$6="M",2,3))</f>
        <v>6.0999999999999997E-4</v>
      </c>
      <c r="H14" s="11">
        <f>IF('One ret age'!B5="Retired", 0, 1)</f>
        <v>1</v>
      </c>
      <c r="I14" s="4">
        <f>(1+Assumptions!C9)^'One ret age'!C8</f>
        <v>1.4520231320461561</v>
      </c>
      <c r="J14" s="4">
        <f>(1+Assumptions!C10)^-'One ret age'!C8</f>
        <v>0.72627215988542326</v>
      </c>
      <c r="O14" s="4">
        <f>(1.01+Assumptions!C9)^'One ret age'!C8</f>
        <v>1.5981326581137945</v>
      </c>
      <c r="P14" s="4">
        <f>(0.99+Assumptions!C9)^'One ret age'!C8</f>
        <v>1.3180477576059584</v>
      </c>
    </row>
    <row r="15" spans="2:16" x14ac:dyDescent="0.25">
      <c r="B15">
        <f t="shared" ref="B15:B46" si="0">B14+1</f>
        <v>37</v>
      </c>
      <c r="C15">
        <f t="shared" ref="C15:C46" si="1">C14+1</f>
        <v>1</v>
      </c>
      <c r="D15" t="b">
        <f>OR(AND(B15 &gt;= 'One person'!$C$6, C15 &gt;= 'One person'!$C$7), 'One ret age'!$C$5="Retired")</f>
        <v>0</v>
      </c>
      <c r="E15">
        <f>IF(D15, 0, VLOOKUP(B15, Withd!$A$2:$AZ$57, MIN(C15, 50) + 2))</f>
        <v>0.13270000000000001</v>
      </c>
      <c r="F15">
        <f>IF(D15, VLOOKUP(B15,Ret!$A$2:$AZ$27, MIN(C15, 50) + 2), 0)</f>
        <v>0</v>
      </c>
      <c r="G15">
        <f>VLOOKUP(B15,Mort!$A$2:$E$111,IF('One ret age'!$C$6="M",2,3))</f>
        <v>6.4999999999999997E-4</v>
      </c>
      <c r="H15" s="4">
        <f t="shared" ref="H15:H46" si="2">H14*MAX(1-E14-F14-G14, 0)</f>
        <v>0.84699000000000002</v>
      </c>
      <c r="I15" s="4">
        <f>I14/(1+Assumptions!$C$9)</f>
        <v>1.398866215844081</v>
      </c>
      <c r="J15" s="4">
        <f>J14*(1+Assumptions!$C$10)</f>
        <v>0.74987600508169949</v>
      </c>
      <c r="O15" s="4">
        <f>O14/(1.01+Assumptions!$C$9)</f>
        <v>1.5249357424749947</v>
      </c>
      <c r="P15" s="4">
        <f>P14/(0.99+Assumptions!$C$9)</f>
        <v>1.2821476241303096</v>
      </c>
    </row>
    <row r="16" spans="2:16" x14ac:dyDescent="0.25">
      <c r="B16">
        <f t="shared" si="0"/>
        <v>38</v>
      </c>
      <c r="C16">
        <f t="shared" si="1"/>
        <v>2</v>
      </c>
      <c r="D16" t="b">
        <f>OR(AND(B16 &gt;= 'One person'!$C$6, C16 &gt;= 'One person'!$C$7), 'One ret age'!$C$5="Retired")</f>
        <v>0</v>
      </c>
      <c r="E16">
        <f>IF(D16, 0, VLOOKUP(B16, Withd!$A$2:$AZ$57, MIN(C16, 50) + 2))</f>
        <v>0.113</v>
      </c>
      <c r="F16">
        <f>IF(D16, VLOOKUP(B16,Ret!$A$2:$AZ$27, MIN(C16, 50) + 2), 0)</f>
        <v>0</v>
      </c>
      <c r="G16">
        <f>VLOOKUP(B16,Mort!$A$2:$E$111,IF('One ret age'!$C$6="M",2,3))</f>
        <v>6.8999999999999997E-4</v>
      </c>
      <c r="H16" s="4">
        <f t="shared" si="2"/>
        <v>0.73404388349999994</v>
      </c>
      <c r="I16" s="4">
        <f>I15/(1+Assumptions!$C$9)</f>
        <v>1.3476553139152996</v>
      </c>
      <c r="J16" s="4">
        <f>J15*(1+Assumptions!$C$10)</f>
        <v>0.77424697524685471</v>
      </c>
      <c r="O16" s="4">
        <f>O15/(1.01+Assumptions!$C$9)</f>
        <v>1.4550913573234683</v>
      </c>
      <c r="P16" s="4">
        <f>P15/(0.99+Assumptions!$C$9)</f>
        <v>1.2472253153018575</v>
      </c>
    </row>
    <row r="17" spans="2:16" x14ac:dyDescent="0.25">
      <c r="B17">
        <f t="shared" si="0"/>
        <v>39</v>
      </c>
      <c r="C17">
        <f t="shared" si="1"/>
        <v>3</v>
      </c>
      <c r="D17" t="b">
        <f>OR(AND(B17 &gt;= 'One person'!$C$6, C17 &gt;= 'One person'!$C$7), 'One ret age'!$C$5="Retired")</f>
        <v>0</v>
      </c>
      <c r="E17">
        <f>IF(D17, 0, VLOOKUP(B17, Withd!$A$2:$AZ$57, MIN(C17, 50) + 2))</f>
        <v>9.3299999999999994E-2</v>
      </c>
      <c r="F17">
        <f>IF(D17, VLOOKUP(B17,Ret!$A$2:$AZ$27, MIN(C17, 50) + 2), 0)</f>
        <v>0</v>
      </c>
      <c r="G17">
        <f>VLOOKUP(B17,Mort!$A$2:$E$111,IF('One ret age'!$C$6="M",2,3))</f>
        <v>7.2999999999999996E-4</v>
      </c>
      <c r="H17" s="4">
        <f t="shared" si="2"/>
        <v>0.65059043438488495</v>
      </c>
      <c r="I17" s="4">
        <f>I16/(1+Assumptions!$C$9)</f>
        <v>1.2983191848894986</v>
      </c>
      <c r="J17" s="4">
        <f>J16*(1+Assumptions!$C$10)</f>
        <v>0.79941000194237744</v>
      </c>
      <c r="O17" s="4">
        <f>O16/(1.01+Assumptions!$C$9)</f>
        <v>1.3884459516445307</v>
      </c>
      <c r="P17" s="4">
        <f>P16/(0.99+Assumptions!$C$9)</f>
        <v>1.2132541977644529</v>
      </c>
    </row>
    <row r="18" spans="2:16" x14ac:dyDescent="0.25">
      <c r="B18">
        <f t="shared" si="0"/>
        <v>40</v>
      </c>
      <c r="C18">
        <f t="shared" si="1"/>
        <v>4</v>
      </c>
      <c r="D18" t="b">
        <f>OR(AND(B18 &gt;= 'One person'!$C$6, C18 &gt;= 'One person'!$C$7), 'One ret age'!$C$5="Retired")</f>
        <v>0</v>
      </c>
      <c r="E18">
        <f>IF(D18, 0, VLOOKUP(B18, Withd!$A$2:$AZ$57, MIN(C18, 50) + 2))</f>
        <v>7.3499999999999996E-2</v>
      </c>
      <c r="F18">
        <f>IF(D18, VLOOKUP(B18,Ret!$A$2:$AZ$27, MIN(C18, 50) + 2), 0)</f>
        <v>0</v>
      </c>
      <c r="G18">
        <f>VLOOKUP(B18,Mort!$A$2:$E$111,IF('One ret age'!$C$6="M",2,3))</f>
        <v>7.5000000000000002E-4</v>
      </c>
      <c r="H18" s="4">
        <f t="shared" si="2"/>
        <v>0.58941541583967427</v>
      </c>
      <c r="I18" s="4">
        <f>I17/(1+Assumptions!$C$9)</f>
        <v>1.2507891954619446</v>
      </c>
      <c r="J18" s="4">
        <f>J17*(1+Assumptions!$C$10)</f>
        <v>0.8253908270055047</v>
      </c>
      <c r="O18" s="4">
        <f>O17/(1.01+Assumptions!$C$9)</f>
        <v>1.3248530072943994</v>
      </c>
      <c r="P18" s="4">
        <f>P17/(0.99+Assumptions!$C$9)</f>
        <v>1.1802083635840981</v>
      </c>
    </row>
    <row r="19" spans="2:16" x14ac:dyDescent="0.25">
      <c r="B19">
        <f t="shared" si="0"/>
        <v>41</v>
      </c>
      <c r="C19">
        <f t="shared" si="1"/>
        <v>5</v>
      </c>
      <c r="D19" t="b">
        <f>OR(AND(B19 &gt;= 'One person'!$C$6, C19 &gt;= 'One person'!$C$7), 'One ret age'!$C$5="Retired")</f>
        <v>0</v>
      </c>
      <c r="E19">
        <f>IF(D19, 0, VLOOKUP(B19, Withd!$A$2:$AZ$57, MIN(C19, 50) + 2))</f>
        <v>6.1600000000000002E-2</v>
      </c>
      <c r="F19">
        <f>IF(D19, VLOOKUP(B19,Ret!$A$2:$AZ$27, MIN(C19, 50) + 2), 0)</f>
        <v>0</v>
      </c>
      <c r="G19">
        <f>VLOOKUP(B19,Mort!$A$2:$E$111,IF('One ret age'!$C$6="M",2,3))</f>
        <v>8.1999999999999998E-4</v>
      </c>
      <c r="H19" s="4">
        <f t="shared" si="2"/>
        <v>0.5456513212135784</v>
      </c>
      <c r="I19" s="4">
        <f>I18/(1+Assumptions!$C$9)</f>
        <v>1.2049992249151682</v>
      </c>
      <c r="J19" s="4">
        <f>J18*(1+Assumptions!$C$10)</f>
        <v>0.8522160288831836</v>
      </c>
      <c r="O19" s="4">
        <f>O18/(1.01+Assumptions!$C$9)</f>
        <v>1.2641727168839687</v>
      </c>
      <c r="P19" s="4">
        <f>P18/(0.99+Assumptions!$C$9)</f>
        <v>1.1480626104903677</v>
      </c>
    </row>
    <row r="20" spans="2:16" x14ac:dyDescent="0.25">
      <c r="B20">
        <f t="shared" si="0"/>
        <v>42</v>
      </c>
      <c r="C20">
        <f t="shared" si="1"/>
        <v>6</v>
      </c>
      <c r="D20" t="b">
        <f>OR(AND(B20 &gt;= 'One person'!$C$6, C20 &gt;= 'One person'!$C$7), 'One ret age'!$C$5="Retired")</f>
        <v>0</v>
      </c>
      <c r="E20">
        <f>IF(D20, 0, VLOOKUP(B20, Withd!$A$2:$AZ$57, MIN(C20, 50) + 2))</f>
        <v>5.7599999999999998E-2</v>
      </c>
      <c r="F20">
        <f>IF(D20, VLOOKUP(B20,Ret!$A$2:$AZ$27, MIN(C20, 50) + 2), 0)</f>
        <v>0</v>
      </c>
      <c r="G20">
        <f>VLOOKUP(B20,Mort!$A$2:$E$111,IF('One ret age'!$C$6="M",2,3))</f>
        <v>8.8999999999999995E-4</v>
      </c>
      <c r="H20" s="4">
        <f t="shared" si="2"/>
        <v>0.5115917657434268</v>
      </c>
      <c r="I20" s="4">
        <f>I19/(1+Assumptions!$C$9)</f>
        <v>1.1608855731360002</v>
      </c>
      <c r="J20" s="4">
        <f>J19*(1+Assumptions!$C$10)</f>
        <v>0.87991304982188701</v>
      </c>
      <c r="O20" s="4">
        <f>O19/(1.01+Assumptions!$C$9)</f>
        <v>1.2062716764160006</v>
      </c>
      <c r="P20" s="4">
        <f>P19/(0.99+Assumptions!$C$9)</f>
        <v>1.1167924226559998</v>
      </c>
    </row>
    <row r="21" spans="2:16" x14ac:dyDescent="0.25">
      <c r="B21">
        <f t="shared" si="0"/>
        <v>43</v>
      </c>
      <c r="C21">
        <f t="shared" si="1"/>
        <v>7</v>
      </c>
      <c r="D21" t="b">
        <f>OR(AND(B21 &gt;= 'One person'!$C$6, C21 &gt;= 'One person'!$C$7), 'One ret age'!$C$5="Retired")</f>
        <v>0</v>
      </c>
      <c r="E21">
        <f>IF(D21, 0, VLOOKUP(B21, Withd!$A$2:$AZ$57, MIN(C21, 50) + 2))</f>
        <v>5.3499999999999999E-2</v>
      </c>
      <c r="F21">
        <f>IF(D21, VLOOKUP(B21,Ret!$A$2:$AZ$27, MIN(C21, 50) + 2), 0)</f>
        <v>0</v>
      </c>
      <c r="G21">
        <f>VLOOKUP(B21,Mort!$A$2:$E$111,IF('One ret age'!$C$6="M",2,3))</f>
        <v>9.3999999999999997E-4</v>
      </c>
      <c r="H21" s="4">
        <f t="shared" si="2"/>
        <v>0.48166876336509379</v>
      </c>
      <c r="I21" s="4">
        <f>I20/(1+Assumptions!$C$9)</f>
        <v>1.1183868720000001</v>
      </c>
      <c r="J21" s="4">
        <f>J20*(1+Assumptions!$C$10)</f>
        <v>0.90851022394109826</v>
      </c>
      <c r="O21" s="4">
        <f>O20/(1.01+Assumptions!$C$9)</f>
        <v>1.1510225920000006</v>
      </c>
      <c r="P21" s="4">
        <f>P20/(0.99+Assumptions!$C$9)</f>
        <v>1.0863739519999998</v>
      </c>
    </row>
    <row r="22" spans="2:16" x14ac:dyDescent="0.25">
      <c r="B22">
        <f t="shared" si="0"/>
        <v>44</v>
      </c>
      <c r="C22">
        <f t="shared" si="1"/>
        <v>8</v>
      </c>
      <c r="D22" t="b">
        <f>OR(AND(B22 &gt;= 'One person'!$C$6, C22 &gt;= 'One person'!$C$7), 'One ret age'!$C$5="Retired")</f>
        <v>0</v>
      </c>
      <c r="E22">
        <f>IF(D22, 0, VLOOKUP(B22, Withd!$A$2:$AZ$57, MIN(C22, 50) + 2))</f>
        <v>4.9500000000000002E-2</v>
      </c>
      <c r="F22">
        <f>IF(D22, VLOOKUP(B22,Ret!$A$2:$AZ$27, MIN(C22, 50) + 2), 0)</f>
        <v>0</v>
      </c>
      <c r="G22">
        <f>VLOOKUP(B22,Mort!$A$2:$E$111,IF('One ret age'!$C$6="M",2,3))</f>
        <v>1.01E-3</v>
      </c>
      <c r="H22" s="4">
        <f t="shared" si="2"/>
        <v>0.45544671588749808</v>
      </c>
      <c r="I22" s="4">
        <f>I21/(1+Assumptions!$C$9)</f>
        <v>1.0774440000000001</v>
      </c>
      <c r="J22" s="4">
        <f>J21*(1+Assumptions!$C$10)</f>
        <v>0.93803680621918395</v>
      </c>
      <c r="O22" s="4">
        <f>O21/(1.01+Assumptions!$C$9)</f>
        <v>1.0983040000000004</v>
      </c>
      <c r="P22" s="4">
        <f>P21/(0.99+Assumptions!$C$9)</f>
        <v>1.0567839999999997</v>
      </c>
    </row>
    <row r="23" spans="2:16" x14ac:dyDescent="0.25">
      <c r="B23">
        <f t="shared" si="0"/>
        <v>45</v>
      </c>
      <c r="C23">
        <f t="shared" si="1"/>
        <v>9</v>
      </c>
      <c r="D23" t="b">
        <f>OR(AND(B23 &gt;= 'One person'!$C$6, C23 &gt;= 'One person'!$C$7), 'One ret age'!$C$5="Retired")</f>
        <v>0</v>
      </c>
      <c r="E23">
        <f>IF(D23, 0, VLOOKUP(B23, Withd!$A$2:$AZ$57, MIN(C23, 50) + 2))</f>
        <v>4.5199999999999997E-2</v>
      </c>
      <c r="F23">
        <f>IF(D23, VLOOKUP(B23,Ret!$A$2:$AZ$27, MIN(C23, 50) + 2), 0)</f>
        <v>0</v>
      </c>
      <c r="G23">
        <f>VLOOKUP(B23,Mort!$A$2:$E$111,IF('One ret age'!$C$6="M",2,3))</f>
        <v>1.06E-3</v>
      </c>
      <c r="H23" s="4">
        <f t="shared" si="2"/>
        <v>0.4324421022680206</v>
      </c>
      <c r="I23" s="4">
        <f>I22/(1+Assumptions!$C$9)</f>
        <v>1.038</v>
      </c>
      <c r="J23" s="4">
        <f>J22*(1+Assumptions!$C$10)</f>
        <v>0.9685230024213074</v>
      </c>
      <c r="O23" s="4">
        <f>O22/(1.01+Assumptions!$C$9)</f>
        <v>1.0480000000000003</v>
      </c>
      <c r="P23" s="4">
        <f>P22/(0.99+Assumptions!$C$9)</f>
        <v>1.0279999999999998</v>
      </c>
    </row>
    <row r="24" spans="2:16" x14ac:dyDescent="0.25">
      <c r="B24">
        <f t="shared" si="0"/>
        <v>46</v>
      </c>
      <c r="C24">
        <f t="shared" si="1"/>
        <v>10</v>
      </c>
      <c r="D24" t="b">
        <f>OR(AND(B24 &gt;= 'One person'!$C$6, C24 &gt;= 'One person'!$C$7), 'One ret age'!$C$5="Retired")</f>
        <v>0</v>
      </c>
      <c r="E24">
        <f>IF(D24, 0, VLOOKUP(B24, Withd!$A$2:$AZ$57, MIN(C24, 50) + 2))</f>
        <v>4.1000000000000002E-2</v>
      </c>
      <c r="F24">
        <f>IF(D24, VLOOKUP(B24,Ret!$A$2:$AZ$27, MIN(C24, 50) + 2), 0)</f>
        <v>0</v>
      </c>
      <c r="G24">
        <f>VLOOKUP(B24,Mort!$A$2:$E$111,IF('One ret age'!$C$6="M",2,3))</f>
        <v>1.16E-3</v>
      </c>
      <c r="H24" s="4">
        <f t="shared" si="2"/>
        <v>0.41243733061710197</v>
      </c>
      <c r="I24" s="4">
        <f>I23/(1+Assumptions!$C$9)</f>
        <v>1</v>
      </c>
      <c r="J24" s="4">
        <f>J23*(1+Assumptions!$C$10)</f>
        <v>0.99999999999999989</v>
      </c>
      <c r="O24" s="4">
        <f>O23/(1.01+Assumptions!$C$9)</f>
        <v>1.0000000000000002</v>
      </c>
      <c r="P24" s="4">
        <f>P23/(0.99+Assumptions!$C$9)</f>
        <v>0.99999999999999978</v>
      </c>
    </row>
    <row r="25" spans="2:16" x14ac:dyDescent="0.25">
      <c r="B25">
        <f t="shared" si="0"/>
        <v>47</v>
      </c>
      <c r="C25">
        <f t="shared" si="1"/>
        <v>11</v>
      </c>
      <c r="D25" t="b">
        <f>OR(AND(B25 &gt;= 'One person'!$C$6, C25 &gt;= 'One person'!$C$7), 'One ret age'!$C$5="Retired")</f>
        <v>0</v>
      </c>
      <c r="E25">
        <f>IF(D25, 0, VLOOKUP(B25, Withd!$A$2:$AZ$57, MIN(C25, 50) + 2))</f>
        <v>3.8199999999999998E-2</v>
      </c>
      <c r="F25">
        <f>IF(D25, VLOOKUP(B25,Ret!$A$2:$AZ$27, MIN(C25, 50) + 2), 0)</f>
        <v>0</v>
      </c>
      <c r="G25">
        <f>VLOOKUP(B25,Mort!$A$2:$E$111,IF('One ret age'!$C$6="M",2,3))</f>
        <v>1.2600000000000001E-3</v>
      </c>
      <c r="H25" s="4">
        <f t="shared" si="2"/>
        <v>0.39504897275828493</v>
      </c>
      <c r="I25" s="4">
        <f>I24/(1+Assumptions!$C$9)</f>
        <v>0.96339113680154143</v>
      </c>
      <c r="J25" s="4">
        <f>J24*(1+Assumptions!$C$10)</f>
        <v>1.0324999999999998</v>
      </c>
      <c r="O25" s="4">
        <f>O24/(1.01+Assumptions!$C$9)</f>
        <v>0.95419847328244289</v>
      </c>
      <c r="P25" s="4">
        <f>P24/(0.99+Assumptions!$C$9)</f>
        <v>0.97276264591439665</v>
      </c>
    </row>
    <row r="26" spans="2:16" x14ac:dyDescent="0.25">
      <c r="B26">
        <f t="shared" si="0"/>
        <v>48</v>
      </c>
      <c r="C26">
        <f t="shared" si="1"/>
        <v>12</v>
      </c>
      <c r="D26" t="b">
        <f>OR(AND(B26 &gt;= 'One person'!$C$6, C26 &gt;= 'One person'!$C$7), 'One ret age'!$C$5="Retired")</f>
        <v>0</v>
      </c>
      <c r="E26">
        <f>IF(D26, 0, VLOOKUP(B26, Withd!$A$2:$AZ$57, MIN(C26, 50) + 2))</f>
        <v>3.5499999999999997E-2</v>
      </c>
      <c r="F26">
        <f>IF(D26, VLOOKUP(B26,Ret!$A$2:$AZ$27, MIN(C26, 50) + 2), 0)</f>
        <v>0</v>
      </c>
      <c r="G26">
        <f>VLOOKUP(B26,Mort!$A$2:$E$111,IF('One ret age'!$C$6="M",2,3))</f>
        <v>1.3600000000000001E-3</v>
      </c>
      <c r="H26" s="4">
        <f t="shared" si="2"/>
        <v>0.37946034029324299</v>
      </c>
      <c r="I26" s="4">
        <f>I25/(1+Assumptions!$C$9)</f>
        <v>0.9281224824677663</v>
      </c>
      <c r="J26" s="4">
        <f>J25*(1+Assumptions!$C$10)</f>
        <v>1.0660562499999997</v>
      </c>
      <c r="O26" s="4">
        <f>O25/(1.01+Assumptions!$C$9)</f>
        <v>0.91049472641454476</v>
      </c>
      <c r="P26" s="4">
        <f>P25/(0.99+Assumptions!$C$9)</f>
        <v>0.946267165286378</v>
      </c>
    </row>
    <row r="27" spans="2:16" x14ac:dyDescent="0.25">
      <c r="B27">
        <f t="shared" si="0"/>
        <v>49</v>
      </c>
      <c r="C27">
        <f t="shared" si="1"/>
        <v>13</v>
      </c>
      <c r="D27" t="b">
        <f>OR(AND(B27 &gt;= 'One person'!$C$6, C27 &gt;= 'One person'!$C$7), 'One ret age'!$C$5="Retired")</f>
        <v>0</v>
      </c>
      <c r="E27">
        <f>IF(D27, 0, VLOOKUP(B27, Withd!$A$2:$AZ$57, MIN(C27, 50) + 2))</f>
        <v>3.0499999999999999E-2</v>
      </c>
      <c r="F27">
        <f>IF(D27, VLOOKUP(B27,Ret!$A$2:$AZ$27, MIN(C27, 50) + 2), 0)</f>
        <v>0</v>
      </c>
      <c r="G27">
        <f>VLOOKUP(B27,Mort!$A$2:$E$111,IF('One ret age'!$C$6="M",2,3))</f>
        <v>1.4499999999999999E-3</v>
      </c>
      <c r="H27" s="4">
        <f t="shared" si="2"/>
        <v>0.36547343215003403</v>
      </c>
      <c r="I27" s="4">
        <f>I26/(1+Assumptions!$C$9)</f>
        <v>0.89414497347569</v>
      </c>
      <c r="J27" s="4">
        <f>J26*(1+Assumptions!$C$10)</f>
        <v>1.1007030781249996</v>
      </c>
      <c r="O27" s="4">
        <f>O26/(1.01+Assumptions!$C$9)</f>
        <v>0.86879267787647396</v>
      </c>
      <c r="P27" s="4">
        <f>P26/(0.99+Assumptions!$C$9)</f>
        <v>0.92049335144589295</v>
      </c>
    </row>
    <row r="28" spans="2:16" x14ac:dyDescent="0.25">
      <c r="B28">
        <f t="shared" si="0"/>
        <v>50</v>
      </c>
      <c r="C28">
        <f t="shared" si="1"/>
        <v>14</v>
      </c>
      <c r="D28" t="b">
        <f>OR(AND(B28 &gt;= 'One person'!$C$6, C28 &gt;= 'One person'!$C$7), 'One ret age'!$C$5="Retired")</f>
        <v>1</v>
      </c>
      <c r="E28">
        <f>IF(D28, 0, VLOOKUP(B28, Withd!$A$2:$AZ$57, MIN(C28, 50) + 2))</f>
        <v>0</v>
      </c>
      <c r="F28">
        <f>IF(D28, VLOOKUP(B28,Ret!$A$2:$AZ$27, MIN(C28, 50) + 2), 0)</f>
        <v>1.4999999999999999E-2</v>
      </c>
      <c r="G28">
        <f>VLOOKUP(B28,Mort!$A$2:$E$111,IF('One ret age'!$C$6="M",2,3))</f>
        <v>1.5499999999999999E-3</v>
      </c>
      <c r="H28" s="4">
        <f t="shared" si="2"/>
        <v>0.35379655599284049</v>
      </c>
      <c r="I28" s="4">
        <f>I27/(1+Assumptions!$C$9)</f>
        <v>0.86141134246212903</v>
      </c>
      <c r="J28" s="4">
        <f>J27*(1+Assumptions!$C$10)</f>
        <v>1.136475928164062</v>
      </c>
      <c r="O28" s="4">
        <f>O27/(1.01+Assumptions!$C$9)</f>
        <v>0.82900064682869645</v>
      </c>
      <c r="P28" s="4">
        <f>P27/(0.99+Assumptions!$C$9)</f>
        <v>0.89542154809911767</v>
      </c>
    </row>
    <row r="29" spans="2:16" x14ac:dyDescent="0.25">
      <c r="B29">
        <f t="shared" si="0"/>
        <v>51</v>
      </c>
      <c r="C29">
        <f t="shared" si="1"/>
        <v>15</v>
      </c>
      <c r="D29" t="b">
        <f>OR(AND(B29 &gt;= 'One person'!$C$6, C29 &gt;= 'One person'!$C$7), 'One ret age'!$C$5="Retired")</f>
        <v>1</v>
      </c>
      <c r="E29">
        <f>IF(D29, 0, VLOOKUP(B29, Withd!$A$2:$AZ$57, MIN(C29, 50) + 2))</f>
        <v>0</v>
      </c>
      <c r="F29">
        <f>IF(D29, VLOOKUP(B29,Ret!$A$2:$AZ$27, MIN(C29, 50) + 2), 0)</f>
        <v>1.4E-2</v>
      </c>
      <c r="G29">
        <f>VLOOKUP(B29,Mort!$A$2:$E$111,IF('One ret age'!$C$6="M",2,3))</f>
        <v>1.6999999999999999E-3</v>
      </c>
      <c r="H29" s="4">
        <f t="shared" si="2"/>
        <v>0.34794122299115898</v>
      </c>
      <c r="I29" s="4">
        <f>I28/(1+Assumptions!$C$9)</f>
        <v>0.8298760524683324</v>
      </c>
      <c r="J29" s="4">
        <f>J28*(1+Assumptions!$C$10)</f>
        <v>1.1734113958293939</v>
      </c>
      <c r="O29" s="4">
        <f>O28/(1.01+Assumptions!$C$9)</f>
        <v>0.79103115155409964</v>
      </c>
      <c r="P29" s="4">
        <f>P28/(0.99+Assumptions!$C$9)</f>
        <v>0.87103263433766309</v>
      </c>
    </row>
    <row r="30" spans="2:16" x14ac:dyDescent="0.25">
      <c r="B30">
        <f t="shared" si="0"/>
        <v>52</v>
      </c>
      <c r="C30">
        <f t="shared" si="1"/>
        <v>16</v>
      </c>
      <c r="D30" t="b">
        <f>OR(AND(B30 &gt;= 'One person'!$C$6, C30 &gt;= 'One person'!$C$7), 'One ret age'!$C$5="Retired")</f>
        <v>1</v>
      </c>
      <c r="E30">
        <f>IF(D30, 0, VLOOKUP(B30, Withd!$A$2:$AZ$57, MIN(C30, 50) + 2))</f>
        <v>0</v>
      </c>
      <c r="F30">
        <f>IF(D30, VLOOKUP(B30,Ret!$A$2:$AZ$27, MIN(C30, 50) + 2), 0)</f>
        <v>1.7999999999999999E-2</v>
      </c>
      <c r="G30">
        <f>VLOOKUP(B30,Mort!$A$2:$E$111,IF('One ret age'!$C$6="M",2,3))</f>
        <v>1.8500000000000001E-3</v>
      </c>
      <c r="H30" s="4">
        <f t="shared" si="2"/>
        <v>0.34247854579019776</v>
      </c>
      <c r="I30" s="4">
        <f>I29/(1+Assumptions!$C$9)</f>
        <v>0.79949523359184238</v>
      </c>
      <c r="J30" s="4">
        <f>J29*(1+Assumptions!$C$10)</f>
        <v>1.2115472661938491</v>
      </c>
      <c r="O30" s="4">
        <f>O29/(1.01+Assumptions!$C$9)</f>
        <v>0.75480071713177443</v>
      </c>
      <c r="P30" s="4">
        <f>P29/(0.99+Assumptions!$C$9)</f>
        <v>0.84730801005609246</v>
      </c>
    </row>
    <row r="31" spans="2:16" x14ac:dyDescent="0.25">
      <c r="B31">
        <f t="shared" si="0"/>
        <v>53</v>
      </c>
      <c r="C31">
        <f t="shared" si="1"/>
        <v>17</v>
      </c>
      <c r="D31" t="b">
        <f>OR(AND(B31 &gt;= 'One person'!$C$6, C31 &gt;= 'One person'!$C$7), 'One ret age'!$C$5="Retired")</f>
        <v>1</v>
      </c>
      <c r="E31">
        <f>IF(D31, 0, VLOOKUP(B31, Withd!$A$2:$AZ$57, MIN(C31, 50) + 2))</f>
        <v>0</v>
      </c>
      <c r="F31">
        <f>IF(D31, VLOOKUP(B31,Ret!$A$2:$AZ$27, MIN(C31, 50) + 2), 0)</f>
        <v>1.6E-2</v>
      </c>
      <c r="G31">
        <f>VLOOKUP(B31,Mort!$A$2:$E$111,IF('One ret age'!$C$6="M",2,3))</f>
        <v>1.99E-3</v>
      </c>
      <c r="H31" s="4">
        <f t="shared" si="2"/>
        <v>0.33568034665626234</v>
      </c>
      <c r="I31" s="4">
        <f>I30/(1+Assumptions!$C$9)</f>
        <v>0.77022662195745895</v>
      </c>
      <c r="J31" s="4">
        <f>J30*(1+Assumptions!$C$10)</f>
        <v>1.2509225523451493</v>
      </c>
      <c r="O31" s="4">
        <f>O30/(1.01+Assumptions!$C$9)</f>
        <v>0.72022969191963204</v>
      </c>
      <c r="P31" s="4">
        <f>P30/(0.99+Assumptions!$C$9)</f>
        <v>0.82422958176662686</v>
      </c>
    </row>
    <row r="32" spans="2:16" x14ac:dyDescent="0.25">
      <c r="B32">
        <f t="shared" si="0"/>
        <v>54</v>
      </c>
      <c r="C32">
        <f t="shared" si="1"/>
        <v>18</v>
      </c>
      <c r="D32" t="b">
        <f>OR(AND(B32 &gt;= 'One person'!$C$6, C32 &gt;= 'One person'!$C$7), 'One ret age'!$C$5="Retired")</f>
        <v>1</v>
      </c>
      <c r="E32">
        <f>IF(D32, 0, VLOOKUP(B32, Withd!$A$2:$AZ$57, MIN(C32, 50) + 2))</f>
        <v>0</v>
      </c>
      <c r="F32">
        <f>IF(D32, VLOOKUP(B32,Ret!$A$2:$AZ$27, MIN(C32, 50) + 2), 0)</f>
        <v>2.4E-2</v>
      </c>
      <c r="G32">
        <f>VLOOKUP(B32,Mort!$A$2:$E$111,IF('One ret age'!$C$6="M",2,3))</f>
        <v>2.1299999999999999E-3</v>
      </c>
      <c r="H32" s="4">
        <f t="shared" si="2"/>
        <v>0.32964145721991617</v>
      </c>
      <c r="I32" s="4">
        <f>I31/(1+Assumptions!$C$9)</f>
        <v>0.74202950092240749</v>
      </c>
      <c r="J32" s="4">
        <f>J31*(1+Assumptions!$C$10)</f>
        <v>1.2915775352963665</v>
      </c>
      <c r="O32" s="4">
        <f>O31/(1.01+Assumptions!$C$9)</f>
        <v>0.68724207244239699</v>
      </c>
      <c r="P32" s="4">
        <f>P31/(0.99+Assumptions!$C$9)</f>
        <v>0.80177974880022063</v>
      </c>
    </row>
    <row r="33" spans="2:16" x14ac:dyDescent="0.25">
      <c r="B33">
        <f t="shared" si="0"/>
        <v>55</v>
      </c>
      <c r="C33">
        <f t="shared" si="1"/>
        <v>19</v>
      </c>
      <c r="D33" t="b">
        <f>OR(AND(B33 &gt;= 'One person'!$C$6, C33 &gt;= 'One person'!$C$7), 'One ret age'!$C$5="Retired")</f>
        <v>1</v>
      </c>
      <c r="E33">
        <f>IF(D33, 0, VLOOKUP(B33, Withd!$A$2:$AZ$57, MIN(C33, 50) + 2))</f>
        <v>0</v>
      </c>
      <c r="F33">
        <f>IF(D33, VLOOKUP(B33,Ret!$A$2:$AZ$27, MIN(C33, 50) + 2), 0)</f>
        <v>3.9E-2</v>
      </c>
      <c r="G33">
        <f>VLOOKUP(B33,Mort!$A$2:$E$111,IF('One ret age'!$C$6="M",2,3))</f>
        <v>2.2799999999999999E-3</v>
      </c>
      <c r="H33" s="4">
        <f t="shared" si="2"/>
        <v>0.32102792594275975</v>
      </c>
      <c r="I33" s="4">
        <f>I32/(1+Assumptions!$C$9)</f>
        <v>0.71486464443391862</v>
      </c>
      <c r="J33" s="4">
        <f>J32*(1+Assumptions!$C$10)</f>
        <v>1.3335538051934983</v>
      </c>
      <c r="O33" s="4">
        <f>O32/(1.01+Assumptions!$C$9)</f>
        <v>0.65576533629999711</v>
      </c>
      <c r="P33" s="4">
        <f>P32/(0.99+Assumptions!$C$9)</f>
        <v>0.77994138988348305</v>
      </c>
    </row>
    <row r="34" spans="2:16" x14ac:dyDescent="0.25">
      <c r="B34">
        <f t="shared" si="0"/>
        <v>56</v>
      </c>
      <c r="C34">
        <f t="shared" si="1"/>
        <v>20</v>
      </c>
      <c r="D34" t="b">
        <f>OR(AND(B34 &gt;= 'One person'!$C$6, C34 &gt;= 'One person'!$C$7), 'One ret age'!$C$5="Retired")</f>
        <v>1</v>
      </c>
      <c r="E34">
        <f>IF(D34, 0, VLOOKUP(B34, Withd!$A$2:$AZ$57, MIN(C34, 50) + 2))</f>
        <v>0</v>
      </c>
      <c r="F34">
        <f>IF(D34, VLOOKUP(B34,Ret!$A$2:$AZ$27, MIN(C34, 50) + 2), 0)</f>
        <v>3.3000000000000002E-2</v>
      </c>
      <c r="G34">
        <f>VLOOKUP(B34,Mort!$A$2:$E$111,IF('One ret age'!$C$6="M",2,3))</f>
        <v>2.49E-3</v>
      </c>
      <c r="H34" s="4">
        <f t="shared" si="2"/>
        <v>0.30777589315984261</v>
      </c>
      <c r="I34" s="4">
        <f>I33/(1+Assumptions!$C$9)</f>
        <v>0.68869426246042253</v>
      </c>
      <c r="J34" s="4">
        <f>J33*(1+Assumptions!$C$10)</f>
        <v>1.376894303862287</v>
      </c>
      <c r="O34" s="4">
        <f>O33/(1.01+Assumptions!$C$9)</f>
        <v>0.62573028272900488</v>
      </c>
      <c r="P34" s="4">
        <f>P33/(0.99+Assumptions!$C$9)</f>
        <v>0.75869785008120916</v>
      </c>
    </row>
    <row r="35" spans="2:16" x14ac:dyDescent="0.25">
      <c r="B35">
        <f t="shared" si="0"/>
        <v>57</v>
      </c>
      <c r="C35">
        <f t="shared" si="1"/>
        <v>21</v>
      </c>
      <c r="D35" t="b">
        <f>OR(AND(B35 &gt;= 'One person'!$C$6, C35 &gt;= 'One person'!$C$7), 'One ret age'!$C$5="Retired")</f>
        <v>1</v>
      </c>
      <c r="E35">
        <f>IF(D35, 0, VLOOKUP(B35, Withd!$A$2:$AZ$57, MIN(C35, 50) + 2))</f>
        <v>0</v>
      </c>
      <c r="F35">
        <f>IF(D35, VLOOKUP(B35,Ret!$A$2:$AZ$27, MIN(C35, 50) + 2), 0)</f>
        <v>4.3999999999999997E-2</v>
      </c>
      <c r="G35">
        <f>VLOOKUP(B35,Mort!$A$2:$E$111,IF('One ret age'!$C$6="M",2,3))</f>
        <v>2.65E-3</v>
      </c>
      <c r="H35" s="4">
        <f t="shared" si="2"/>
        <v>0.2968529267115998</v>
      </c>
      <c r="I35" s="4">
        <f>I34/(1+Assumptions!$C$9)</f>
        <v>0.66348194842044561</v>
      </c>
      <c r="J35" s="4">
        <f>J34*(1+Assumptions!$C$10)</f>
        <v>1.4216433687378112</v>
      </c>
      <c r="O35" s="4">
        <f>O34/(1.01+Assumptions!$C$9)</f>
        <v>0.59707088046660772</v>
      </c>
      <c r="P35" s="4">
        <f>P34/(0.99+Assumptions!$C$9)</f>
        <v>0.73803292809456145</v>
      </c>
    </row>
    <row r="36" spans="2:16" x14ac:dyDescent="0.25">
      <c r="B36">
        <f t="shared" si="0"/>
        <v>58</v>
      </c>
      <c r="C36">
        <f t="shared" si="1"/>
        <v>22</v>
      </c>
      <c r="D36" t="b">
        <f>OR(AND(B36 &gt;= 'One person'!$C$6, C36 &gt;= 'One person'!$C$7), 'One ret age'!$C$5="Retired")</f>
        <v>1</v>
      </c>
      <c r="E36">
        <f>IF(D36, 0, VLOOKUP(B36, Withd!$A$2:$AZ$57, MIN(C36, 50) + 2))</f>
        <v>0</v>
      </c>
      <c r="F36">
        <f>IF(D36, VLOOKUP(B36,Ret!$A$2:$AZ$27, MIN(C36, 50) + 2), 0)</f>
        <v>5.1999999999999998E-2</v>
      </c>
      <c r="G36">
        <f>VLOOKUP(B36,Mort!$A$2:$E$111,IF('One ret age'!$C$6="M",2,3))</f>
        <v>2.8E-3</v>
      </c>
      <c r="H36" s="4">
        <f t="shared" si="2"/>
        <v>0.28300473768050366</v>
      </c>
      <c r="I36" s="4">
        <f>I35/(1+Assumptions!$C$9)</f>
        <v>0.63919262853607473</v>
      </c>
      <c r="J36" s="4">
        <f>J35*(1+Assumptions!$C$10)</f>
        <v>1.4678467782217899</v>
      </c>
      <c r="O36" s="4">
        <f>O35/(1.01+Assumptions!$C$9)</f>
        <v>0.56972412258264093</v>
      </c>
      <c r="P36" s="4">
        <f>P35/(0.99+Assumptions!$C$9)</f>
        <v>0.71793086390521543</v>
      </c>
    </row>
    <row r="37" spans="2:16" x14ac:dyDescent="0.25">
      <c r="B37">
        <f t="shared" si="0"/>
        <v>59</v>
      </c>
      <c r="C37">
        <f t="shared" si="1"/>
        <v>23</v>
      </c>
      <c r="D37" t="b">
        <f>OR(AND(B37 &gt;= 'One person'!$C$6, C37 &gt;= 'One person'!$C$7), 'One ret age'!$C$5="Retired")</f>
        <v>1</v>
      </c>
      <c r="E37">
        <f>IF(D37, 0, VLOOKUP(B37, Withd!$A$2:$AZ$57, MIN(C37, 50) + 2))</f>
        <v>0</v>
      </c>
      <c r="F37">
        <f>IF(D37, VLOOKUP(B37,Ret!$A$2:$AZ$27, MIN(C37, 50) + 2), 0)</f>
        <v>6.6000000000000003E-2</v>
      </c>
      <c r="G37">
        <f>VLOOKUP(B37,Mort!$A$2:$E$111,IF('One ret age'!$C$6="M",2,3))</f>
        <v>2.9399999999999999E-3</v>
      </c>
      <c r="H37" s="4">
        <f t="shared" si="2"/>
        <v>0.26749607805561204</v>
      </c>
      <c r="I37" s="4">
        <f>I36/(1+Assumptions!$C$9)</f>
        <v>0.61579251304053439</v>
      </c>
      <c r="J37" s="4">
        <f>J36*(1+Assumptions!$C$10)</f>
        <v>1.5155517985139979</v>
      </c>
      <c r="O37" s="4">
        <f>O36/(1.01+Assumptions!$C$9)</f>
        <v>0.54362988796053524</v>
      </c>
      <c r="P37" s="4">
        <f>P36/(0.99+Assumptions!$C$9)</f>
        <v>0.69837632675604611</v>
      </c>
    </row>
    <row r="38" spans="2:16" x14ac:dyDescent="0.25">
      <c r="B38">
        <f t="shared" si="0"/>
        <v>60</v>
      </c>
      <c r="C38">
        <f t="shared" si="1"/>
        <v>24</v>
      </c>
      <c r="D38" t="b">
        <f>OR(AND(B38 &gt;= 'One person'!$C$6, C38 &gt;= 'One person'!$C$7), 'One ret age'!$C$5="Retired")</f>
        <v>1</v>
      </c>
      <c r="E38">
        <f>IF(D38, 0, VLOOKUP(B38, Withd!$A$2:$AZ$57, MIN(C38, 50) + 2))</f>
        <v>0</v>
      </c>
      <c r="F38">
        <f>IF(D38, VLOOKUP(B38,Ret!$A$2:$AZ$27, MIN(C38, 50) + 2), 0)</f>
        <v>0.114</v>
      </c>
      <c r="G38">
        <f>VLOOKUP(B38,Mort!$A$2:$E$111,IF('One ret age'!$C$6="M",2,3))</f>
        <v>3.0799999999999998E-3</v>
      </c>
      <c r="H38" s="4">
        <f t="shared" si="2"/>
        <v>0.24905489843445811</v>
      </c>
      <c r="I38" s="4">
        <f>I37/(1+Assumptions!$C$9)</f>
        <v>0.59324904917199839</v>
      </c>
      <c r="J38" s="4">
        <f>J37*(1+Assumptions!$C$10)</f>
        <v>1.5648072319657027</v>
      </c>
      <c r="O38" s="4">
        <f>O37/(1.01+Assumptions!$C$9)</f>
        <v>0.51873080912264813</v>
      </c>
      <c r="P38" s="4">
        <f>P37/(0.99+Assumptions!$C$9)</f>
        <v>0.67935440345918885</v>
      </c>
    </row>
    <row r="39" spans="2:16" x14ac:dyDescent="0.25">
      <c r="B39">
        <f t="shared" si="0"/>
        <v>61</v>
      </c>
      <c r="C39">
        <f t="shared" si="1"/>
        <v>25</v>
      </c>
      <c r="D39" t="b">
        <f>OR(AND(B39 &gt;= 'One person'!$C$6, C39 &gt;= 'One person'!$C$7), 'One ret age'!$C$5="Retired")</f>
        <v>1</v>
      </c>
      <c r="E39">
        <f>IF(D39, 0, VLOOKUP(B39, Withd!$A$2:$AZ$57, MIN(C39, 50) + 2))</f>
        <v>0</v>
      </c>
      <c r="F39">
        <f>IF(D39, VLOOKUP(B39,Ret!$A$2:$AZ$27, MIN(C39, 50) + 2), 0)</f>
        <v>0.14899999999999999</v>
      </c>
      <c r="G39">
        <f>VLOOKUP(B39,Mort!$A$2:$E$111,IF('One ret age'!$C$6="M",2,3))</f>
        <v>3.2799999999999999E-3</v>
      </c>
      <c r="H39" s="4">
        <f t="shared" si="2"/>
        <v>0.21989555092575175</v>
      </c>
      <c r="I39" s="4">
        <f>I38/(1+Assumptions!$C$9)</f>
        <v>0.57153087588824503</v>
      </c>
      <c r="J39" s="4">
        <f>J38*(1+Assumptions!$C$10)</f>
        <v>1.615663467004588</v>
      </c>
      <c r="O39" s="4">
        <f>O38/(1.01+Assumptions!$C$9)</f>
        <v>0.49497214610939705</v>
      </c>
      <c r="P39" s="4">
        <f>P38/(0.99+Assumptions!$C$9)</f>
        <v>0.66085058702255728</v>
      </c>
    </row>
    <row r="40" spans="2:16" x14ac:dyDescent="0.25">
      <c r="B40">
        <f t="shared" si="0"/>
        <v>62</v>
      </c>
      <c r="C40">
        <f t="shared" si="1"/>
        <v>26</v>
      </c>
      <c r="D40" t="b">
        <f>OR(AND(B40 &gt;= 'One person'!$C$6, C40 &gt;= 'One person'!$C$7), 'One ret age'!$C$5="Retired")</f>
        <v>1</v>
      </c>
      <c r="E40">
        <f>IF(D40, 0, VLOOKUP(B40, Withd!$A$2:$AZ$57, MIN(C40, 50) + 2))</f>
        <v>0</v>
      </c>
      <c r="F40">
        <f>IF(D40, VLOOKUP(B40,Ret!$A$2:$AZ$27, MIN(C40, 50) + 2), 0)</f>
        <v>0.255</v>
      </c>
      <c r="G40">
        <f>VLOOKUP(B40,Mort!$A$2:$E$111,IF('One ret age'!$C$6="M",2,3))</f>
        <v>3.47E-3</v>
      </c>
      <c r="H40" s="4">
        <f t="shared" si="2"/>
        <v>0.18640985643077829</v>
      </c>
      <c r="I40" s="4">
        <f>I39/(1+Assumptions!$C$9)</f>
        <v>0.55060778023915702</v>
      </c>
      <c r="J40" s="4">
        <f>J39*(1+Assumptions!$C$10)</f>
        <v>1.6681725296822369</v>
      </c>
      <c r="O40" s="4">
        <f>O39/(1.01+Assumptions!$C$9)</f>
        <v>0.47230166613492081</v>
      </c>
      <c r="P40" s="4">
        <f>P39/(0.99+Assumptions!$C$9)</f>
        <v>0.64285076558614518</v>
      </c>
    </row>
    <row r="41" spans="2:16" x14ac:dyDescent="0.25">
      <c r="B41">
        <f t="shared" si="0"/>
        <v>63</v>
      </c>
      <c r="C41">
        <f t="shared" si="1"/>
        <v>27</v>
      </c>
      <c r="D41" t="b">
        <f>OR(AND(B41 &gt;= 'One person'!$C$6, C41 &gt;= 'One person'!$C$7), 'One ret age'!$C$5="Retired")</f>
        <v>1</v>
      </c>
      <c r="E41">
        <f>IF(D41, 0, VLOOKUP(B41, Withd!$A$2:$AZ$57, MIN(C41, 50) + 2))</f>
        <v>0</v>
      </c>
      <c r="F41">
        <f>IF(D41, VLOOKUP(B41,Ret!$A$2:$AZ$27, MIN(C41, 50) + 2), 0)</f>
        <v>0.27100000000000002</v>
      </c>
      <c r="G41">
        <f>VLOOKUP(B41,Mort!$A$2:$E$111,IF('One ret age'!$C$6="M",2,3))</f>
        <v>3.6600000000000001E-3</v>
      </c>
      <c r="H41" s="4">
        <f t="shared" si="2"/>
        <v>0.13822850083911503</v>
      </c>
      <c r="I41" s="4">
        <f>I40/(1+Assumptions!$C$9)</f>
        <v>0.53045065533637481</v>
      </c>
      <c r="J41" s="4">
        <f>J40*(1+Assumptions!$C$10)</f>
        <v>1.7223881368969096</v>
      </c>
      <c r="O41" s="4">
        <f>O40/(1.01+Assumptions!$C$9)</f>
        <v>0.4506695287546954</v>
      </c>
      <c r="P41" s="4">
        <f>P40/(0.99+Assumptions!$C$9)</f>
        <v>0.62534121165967427</v>
      </c>
    </row>
    <row r="42" spans="2:16" x14ac:dyDescent="0.25">
      <c r="B42">
        <f t="shared" si="0"/>
        <v>64</v>
      </c>
      <c r="C42">
        <f t="shared" si="1"/>
        <v>28</v>
      </c>
      <c r="D42" t="b">
        <f>OR(AND(B42 &gt;= 'One person'!$C$6, C42 &gt;= 'One person'!$C$7), 'One ret age'!$C$5="Retired")</f>
        <v>1</v>
      </c>
      <c r="E42">
        <f>IF(D42, 0, VLOOKUP(B42, Withd!$A$2:$AZ$57, MIN(C42, 50) + 2))</f>
        <v>0</v>
      </c>
      <c r="F42">
        <f>IF(D42, VLOOKUP(B42,Ret!$A$2:$AZ$27, MIN(C42, 50) + 2), 0)</f>
        <v>0.25900000000000001</v>
      </c>
      <c r="G42">
        <f>VLOOKUP(B42,Mort!$A$2:$E$111,IF('One ret age'!$C$6="M",2,3))</f>
        <v>3.8300000000000001E-3</v>
      </c>
      <c r="H42" s="4">
        <f t="shared" si="2"/>
        <v>0.1002626607986437</v>
      </c>
      <c r="I42" s="4">
        <f>I41/(1+Assumptions!$C$9)</f>
        <v>0.51103145986163279</v>
      </c>
      <c r="J42" s="4">
        <f>J41*(1+Assumptions!$C$10)</f>
        <v>1.7783657513460591</v>
      </c>
      <c r="O42" s="4">
        <f>O41/(1.01+Assumptions!$C$9)</f>
        <v>0.43002817629264828</v>
      </c>
      <c r="P42" s="4">
        <f>P41/(0.99+Assumptions!$C$9)</f>
        <v>0.60830857165337959</v>
      </c>
    </row>
    <row r="43" spans="2:16" x14ac:dyDescent="0.25">
      <c r="B43">
        <f t="shared" si="0"/>
        <v>65</v>
      </c>
      <c r="C43">
        <f t="shared" si="1"/>
        <v>29</v>
      </c>
      <c r="D43" t="b">
        <f>OR(AND(B43 &gt;= 'One person'!$C$6, C43 &gt;= 'One person'!$C$7), 'One ret age'!$C$5="Retired")</f>
        <v>1</v>
      </c>
      <c r="E43">
        <f>IF(D43, 0, VLOOKUP(B43, Withd!$A$2:$AZ$57, MIN(C43, 50) + 2))</f>
        <v>0</v>
      </c>
      <c r="F43">
        <f>IF(D43, VLOOKUP(B43,Ret!$A$2:$AZ$27, MIN(C43, 50) + 2), 0)</f>
        <v>0.35</v>
      </c>
      <c r="G43">
        <f>VLOOKUP(B43,Mort!$A$2:$E$111,IF('One ret age'!$C$6="M",2,3))</f>
        <v>4.0000000000000001E-3</v>
      </c>
      <c r="H43" s="4">
        <f t="shared" si="2"/>
        <v>7.3910625660936174E-2</v>
      </c>
      <c r="I43" s="4">
        <f>I42/(1+Assumptions!$C$9)</f>
        <v>0.49232317905744966</v>
      </c>
      <c r="J43" s="4">
        <f>J42*(1+Assumptions!$C$10)</f>
        <v>1.836162638264806</v>
      </c>
      <c r="O43" s="4">
        <f>O42/(1.01+Assumptions!$C$9)</f>
        <v>0.41033222928687813</v>
      </c>
      <c r="P43" s="4">
        <f>P42/(0.99+Assumptions!$C$9)</f>
        <v>0.59173985569394905</v>
      </c>
    </row>
    <row r="44" spans="2:16" x14ac:dyDescent="0.25">
      <c r="B44">
        <f t="shared" si="0"/>
        <v>66</v>
      </c>
      <c r="C44">
        <f t="shared" si="1"/>
        <v>30</v>
      </c>
      <c r="D44" t="b">
        <f>OR(AND(B44 &gt;= 'One person'!$C$6, C44 &gt;= 'One person'!$C$7), 'One ret age'!$C$5="Retired")</f>
        <v>1</v>
      </c>
      <c r="E44">
        <f>IF(D44, 0, VLOOKUP(B44, Withd!$A$2:$AZ$57, MIN(C44, 50) + 2))</f>
        <v>0</v>
      </c>
      <c r="F44">
        <f>IF(D44, VLOOKUP(B44,Ret!$A$2:$AZ$27, MIN(C44, 50) + 2), 0)</f>
        <v>0.27</v>
      </c>
      <c r="G44">
        <f>VLOOKUP(B44,Mort!$A$2:$E$111,IF('One ret age'!$C$6="M",2,3))</f>
        <v>4.2300000000000003E-3</v>
      </c>
      <c r="H44" s="4">
        <f t="shared" si="2"/>
        <v>4.7746264176964773E-2</v>
      </c>
      <c r="I44" s="4">
        <f>I43/(1+Assumptions!$C$9)</f>
        <v>0.47429978714590526</v>
      </c>
      <c r="J44" s="4">
        <f>J43*(1+Assumptions!$C$10)</f>
        <v>1.8958379240084122</v>
      </c>
      <c r="O44" s="4">
        <f>O43/(1.01+Assumptions!$C$9)</f>
        <v>0.39153838672412034</v>
      </c>
      <c r="P44" s="4">
        <f>P43/(0.99+Assumptions!$C$9)</f>
        <v>0.57562242771784922</v>
      </c>
    </row>
    <row r="45" spans="2:16" x14ac:dyDescent="0.25">
      <c r="B45">
        <f t="shared" si="0"/>
        <v>67</v>
      </c>
      <c r="C45">
        <f t="shared" si="1"/>
        <v>31</v>
      </c>
      <c r="D45" t="b">
        <f>OR(AND(B45 &gt;= 'One person'!$C$6, C45 &gt;= 'One person'!$C$7), 'One ret age'!$C$5="Retired")</f>
        <v>1</v>
      </c>
      <c r="E45">
        <f>IF(D45, 0, VLOOKUP(B45, Withd!$A$2:$AZ$57, MIN(C45, 50) + 2))</f>
        <v>0</v>
      </c>
      <c r="F45">
        <f>IF(D45, VLOOKUP(B45,Ret!$A$2:$AZ$27, MIN(C45, 50) + 2), 0)</f>
        <v>0.34599999999999997</v>
      </c>
      <c r="G45">
        <f>VLOOKUP(B45,Mort!$A$2:$E$111,IF('One ret age'!$C$6="M",2,3))</f>
        <v>4.4400000000000004E-3</v>
      </c>
      <c r="H45" s="4">
        <f t="shared" si="2"/>
        <v>3.4652806151715725E-2</v>
      </c>
      <c r="I45" s="4">
        <f>I44/(1+Assumptions!$C$9)</f>
        <v>0.4569362111232228</v>
      </c>
      <c r="J45" s="4">
        <f>J44*(1+Assumptions!$C$10)</f>
        <v>1.9574526565386856</v>
      </c>
      <c r="O45" s="4">
        <f>O44/(1.01+Assumptions!$C$9)</f>
        <v>0.37360533084362624</v>
      </c>
      <c r="P45" s="4">
        <f>P44/(0.99+Assumptions!$C$9)</f>
        <v>0.55994399583448362</v>
      </c>
    </row>
    <row r="46" spans="2:16" x14ac:dyDescent="0.25">
      <c r="B46">
        <f t="shared" si="0"/>
        <v>68</v>
      </c>
      <c r="C46">
        <f t="shared" si="1"/>
        <v>32</v>
      </c>
      <c r="D46" t="b">
        <f>OR(AND(B46 &gt;= 'One person'!$C$6, C46 &gt;= 'One person'!$C$7), 'One ret age'!$C$5="Retired")</f>
        <v>1</v>
      </c>
      <c r="E46">
        <f>IF(D46, 0, VLOOKUP(B46, Withd!$A$2:$AZ$57, MIN(C46, 50) + 2))</f>
        <v>0</v>
      </c>
      <c r="F46">
        <f>IF(D46, VLOOKUP(B46,Ret!$A$2:$AZ$27, MIN(C46, 50) + 2), 0)</f>
        <v>0.25700000000000001</v>
      </c>
      <c r="G46">
        <f>VLOOKUP(B46,Mort!$A$2:$E$111,IF('One ret age'!$C$6="M",2,3))</f>
        <v>4.6499999999999996E-3</v>
      </c>
      <c r="H46" s="4">
        <f t="shared" si="2"/>
        <v>2.2509076763908467E-2</v>
      </c>
      <c r="I46" s="4">
        <f>I45/(1+Assumptions!$C$9)</f>
        <v>0.44020829587979071</v>
      </c>
      <c r="J46" s="4">
        <f>J45*(1+Assumptions!$C$10)</f>
        <v>2.0210698678761929</v>
      </c>
      <c r="O46" s="4">
        <f>O45/(1.01+Assumptions!$C$9)</f>
        <v>0.35649363630117004</v>
      </c>
      <c r="P46" s="4">
        <f>P45/(0.99+Assumptions!$C$9)</f>
        <v>0.54469260295183231</v>
      </c>
    </row>
    <row r="47" spans="2:16" x14ac:dyDescent="0.25">
      <c r="B47">
        <f t="shared" ref="B47:B64" si="3">B46+1</f>
        <v>69</v>
      </c>
      <c r="C47">
        <f t="shared" ref="C47:C64" si="4">C46+1</f>
        <v>33</v>
      </c>
      <c r="D47" t="b">
        <f>OR(AND(B47 &gt;= 'One person'!$C$6, C47 &gt;= 'One person'!$C$7), 'One ret age'!$C$5="Retired")</f>
        <v>1</v>
      </c>
      <c r="E47">
        <f>IF(D47, 0, VLOOKUP(B47, Withd!$A$2:$AZ$57, MIN(C47, 50) + 2))</f>
        <v>0</v>
      </c>
      <c r="F47">
        <f>IF(D47, VLOOKUP(B47,Ret!$A$2:$AZ$27, MIN(C47, 50) + 2), 0)</f>
        <v>0.27900000000000003</v>
      </c>
      <c r="G47">
        <f>VLOOKUP(B47,Mort!$A$2:$E$111,IF('One ret age'!$C$6="M",2,3))</f>
        <v>4.9399999999999999E-3</v>
      </c>
      <c r="H47" s="4">
        <f t="shared" ref="H47:H64" si="5">H46*MAX(1-E46-F46-G46, 0)</f>
        <v>1.6619576828631816E-2</v>
      </c>
      <c r="I47" s="4">
        <f>I46/(1+Assumptions!$C$9)</f>
        <v>0.42409277059710088</v>
      </c>
      <c r="J47" s="4">
        <f>J46*(1+Assumptions!$C$10)</f>
        <v>2.0867546385821689</v>
      </c>
      <c r="O47" s="4">
        <f>O46/(1.01+Assumptions!$C$9)</f>
        <v>0.34016568349348286</v>
      </c>
      <c r="P47" s="4">
        <f>P46/(0.99+Assumptions!$C$9)</f>
        <v>0.52985661765742442</v>
      </c>
    </row>
    <row r="48" spans="2:16" x14ac:dyDescent="0.25">
      <c r="B48">
        <f t="shared" si="3"/>
        <v>70</v>
      </c>
      <c r="C48">
        <f t="shared" si="4"/>
        <v>34</v>
      </c>
      <c r="D48" t="b">
        <f>OR(AND(B48 &gt;= 'One person'!$C$6, C48 &gt;= 'One person'!$C$7), 'One ret age'!$C$5="Retired")</f>
        <v>1</v>
      </c>
      <c r="E48">
        <f>IF(D48, 0, VLOOKUP(B48, Withd!$A$2:$AZ$57, MIN(C48, 50) + 2))</f>
        <v>0</v>
      </c>
      <c r="F48">
        <f>IF(D48, VLOOKUP(B48,Ret!$A$2:$AZ$27, MIN(C48, 50) + 2), 0)</f>
        <v>0.3</v>
      </c>
      <c r="G48">
        <f>VLOOKUP(B48,Mort!$A$2:$E$111,IF('One ret age'!$C$6="M",2,3))</f>
        <v>5.2399999999999999E-3</v>
      </c>
      <c r="H48" s="4">
        <f t="shared" si="5"/>
        <v>1.1900614183910098E-2</v>
      </c>
      <c r="I48" s="4">
        <f>I47/(1+Assumptions!$C$9)</f>
        <v>0.40856721637485632</v>
      </c>
      <c r="J48" s="4">
        <f>J47*(1+Assumptions!$C$10)</f>
        <v>2.1545741643360894</v>
      </c>
      <c r="O48" s="4">
        <f>O47/(1.01+Assumptions!$C$9)</f>
        <v>0.32458557585255998</v>
      </c>
      <c r="P48" s="4">
        <f>P47/(0.99+Assumptions!$C$9)</f>
        <v>0.51542472534768913</v>
      </c>
    </row>
    <row r="49" spans="2:16" x14ac:dyDescent="0.25">
      <c r="B49">
        <f t="shared" si="3"/>
        <v>71</v>
      </c>
      <c r="C49">
        <f t="shared" si="4"/>
        <v>35</v>
      </c>
      <c r="D49" t="b">
        <f>OR(AND(B49 &gt;= 'One person'!$C$6, C49 &gt;= 'One person'!$C$7), 'One ret age'!$C$5="Retired")</f>
        <v>1</v>
      </c>
      <c r="E49">
        <f>IF(D49, 0, VLOOKUP(B49, Withd!$A$2:$AZ$57, MIN(C49, 50) + 2))</f>
        <v>0</v>
      </c>
      <c r="F49">
        <f>IF(D49, VLOOKUP(B49,Ret!$A$2:$AZ$27, MIN(C49, 50) + 2), 0)</f>
        <v>0.25600000000000001</v>
      </c>
      <c r="G49">
        <f>VLOOKUP(B49,Mort!$A$2:$E$111,IF('One ret age'!$C$6="M",2,3))</f>
        <v>5.5700000000000003E-3</v>
      </c>
      <c r="H49" s="4">
        <f t="shared" si="5"/>
        <v>8.2680707104133781E-3</v>
      </c>
      <c r="I49" s="4">
        <f>I48/(1+Assumptions!$C$9)</f>
        <v>0.39361003504321418</v>
      </c>
      <c r="J49" s="4">
        <f>J48*(1+Assumptions!$C$10)</f>
        <v>2.2245978246770122</v>
      </c>
      <c r="O49" s="4">
        <f>O48/(1.01+Assumptions!$C$9)</f>
        <v>0.30971906092801521</v>
      </c>
      <c r="P49" s="4">
        <f>P48/(0.99+Assumptions!$C$9)</f>
        <v>0.50138591959891943</v>
      </c>
    </row>
    <row r="50" spans="2:16" x14ac:dyDescent="0.25">
      <c r="B50">
        <f t="shared" si="3"/>
        <v>72</v>
      </c>
      <c r="C50">
        <f t="shared" si="4"/>
        <v>36</v>
      </c>
      <c r="D50" t="b">
        <f>OR(AND(B50 &gt;= 'One person'!$C$6, C50 &gt;= 'One person'!$C$7), 'One ret age'!$C$5="Retired")</f>
        <v>1</v>
      </c>
      <c r="E50">
        <f>IF(D50, 0, VLOOKUP(B50, Withd!$A$2:$AZ$57, MIN(C50, 50) + 2))</f>
        <v>0</v>
      </c>
      <c r="F50">
        <f>IF(D50, VLOOKUP(B50,Ret!$A$2:$AZ$27, MIN(C50, 50) + 2), 0)</f>
        <v>0.28399999999999997</v>
      </c>
      <c r="G50">
        <f>VLOOKUP(B50,Mort!$A$2:$E$111,IF('One ret age'!$C$6="M",2,3))</f>
        <v>5.9100000000000003E-3</v>
      </c>
      <c r="H50" s="4">
        <f t="shared" si="5"/>
        <v>6.1053914546905508E-3</v>
      </c>
      <c r="I50" s="4">
        <f>I49/(1+Assumptions!$C$9)</f>
        <v>0.37920041911677665</v>
      </c>
      <c r="J50" s="4">
        <f>J49*(1+Assumptions!$C$10)</f>
        <v>2.2968972539790151</v>
      </c>
      <c r="O50" s="4">
        <f>O49/(1.01+Assumptions!$C$9)</f>
        <v>0.29553345508398399</v>
      </c>
      <c r="P50" s="4">
        <f>P49/(0.99+Assumptions!$C$9)</f>
        <v>0.48772949377326791</v>
      </c>
    </row>
    <row r="51" spans="2:16" x14ac:dyDescent="0.25">
      <c r="B51">
        <f t="shared" si="3"/>
        <v>73</v>
      </c>
      <c r="C51">
        <f t="shared" si="4"/>
        <v>37</v>
      </c>
      <c r="D51" t="b">
        <f>OR(AND(B51 &gt;= 'One person'!$C$6, C51 &gt;= 'One person'!$C$7), 'One ret age'!$C$5="Retired")</f>
        <v>1</v>
      </c>
      <c r="E51">
        <f>IF(D51, 0, VLOOKUP(B51, Withd!$A$2:$AZ$57, MIN(C51, 50) + 2))</f>
        <v>0</v>
      </c>
      <c r="F51">
        <f>IF(D51, VLOOKUP(B51,Ret!$A$2:$AZ$27, MIN(C51, 50) + 2), 0)</f>
        <v>0.22</v>
      </c>
      <c r="G51">
        <f>VLOOKUP(B51,Mort!$A$2:$E$111,IF('One ret age'!$C$6="M",2,3))</f>
        <v>6.28E-3</v>
      </c>
      <c r="H51" s="4">
        <f t="shared" si="5"/>
        <v>4.3353774180612129E-3</v>
      </c>
      <c r="I51" s="4">
        <f>I50/(1+Assumptions!$C$9)</f>
        <v>0.36531832284853238</v>
      </c>
      <c r="J51" s="4">
        <f>J50*(1+Assumptions!$C$10)</f>
        <v>2.3715464147333329</v>
      </c>
      <c r="O51" s="4">
        <f>O50/(1.01+Assumptions!$C$9)</f>
        <v>0.28199757164502287</v>
      </c>
      <c r="P51" s="4">
        <f>P50/(0.99+Assumptions!$C$9)</f>
        <v>0.47444503285337342</v>
      </c>
    </row>
    <row r="52" spans="2:16" x14ac:dyDescent="0.25">
      <c r="B52">
        <f t="shared" si="3"/>
        <v>74</v>
      </c>
      <c r="C52">
        <f t="shared" si="4"/>
        <v>38</v>
      </c>
      <c r="D52" t="b">
        <f>OR(AND(B52 &gt;= 'One person'!$C$6, C52 &gt;= 'One person'!$C$7), 'One ret age'!$C$5="Retired")</f>
        <v>1</v>
      </c>
      <c r="E52">
        <f>IF(D52, 0, VLOOKUP(B52, Withd!$A$2:$AZ$57, MIN(C52, 50) + 2))</f>
        <v>0</v>
      </c>
      <c r="F52">
        <f>IF(D52, VLOOKUP(B52,Ret!$A$2:$AZ$27, MIN(C52, 50) + 2), 0)</f>
        <v>0.249</v>
      </c>
      <c r="G52">
        <f>VLOOKUP(B52,Mort!$A$2:$E$111,IF('One ret age'!$C$6="M",2,3))</f>
        <v>6.6899999999999998E-3</v>
      </c>
      <c r="H52" s="4">
        <f t="shared" si="5"/>
        <v>3.354368215902322E-3</v>
      </c>
      <c r="I52" s="4">
        <f>I51/(1+Assumptions!$C$9)</f>
        <v>0.35194443434348011</v>
      </c>
      <c r="J52" s="4">
        <f>J51*(1+Assumptions!$C$10)</f>
        <v>2.4486216732121662</v>
      </c>
      <c r="O52" s="4">
        <f>O51/(1.01+Assumptions!$C$9)</f>
        <v>0.2690816523330371</v>
      </c>
      <c r="P52" s="4">
        <f>P51/(0.99+Assumptions!$C$9)</f>
        <v>0.4615224054993905</v>
      </c>
    </row>
    <row r="53" spans="2:16" x14ac:dyDescent="0.25">
      <c r="B53">
        <f t="shared" si="3"/>
        <v>75</v>
      </c>
      <c r="C53">
        <f t="shared" si="4"/>
        <v>39</v>
      </c>
      <c r="D53" t="b">
        <f>OR(AND(B53 &gt;= 'One person'!$C$6, C53 &gt;= 'One person'!$C$7), 'One ret age'!$C$5="Retired")</f>
        <v>1</v>
      </c>
      <c r="E53">
        <f>IF(D53, 0, VLOOKUP(B53, Withd!$A$2:$AZ$57, MIN(C53, 50) + 2))</f>
        <v>0</v>
      </c>
      <c r="F53">
        <f>IF(D53, VLOOKUP(B53,Ret!$A$2:$AZ$27, MIN(C53, 50) + 2), 0)</f>
        <v>1</v>
      </c>
      <c r="G53">
        <f>VLOOKUP(B53,Mort!$A$2:$E$111,IF('One ret age'!$C$6="M",2,3))</f>
        <v>7.1300000000000001E-3</v>
      </c>
      <c r="H53" s="4">
        <f t="shared" si="5"/>
        <v>2.4966898067782573E-3</v>
      </c>
      <c r="I53" s="4">
        <f>I52/(1+Assumptions!$C$9)</f>
        <v>0.33906014869314077</v>
      </c>
      <c r="J53" s="4">
        <f>J52*(1+Assumptions!$C$10)</f>
        <v>2.5282018775915613</v>
      </c>
      <c r="O53" s="4">
        <f>O52/(1.01+Assumptions!$C$9)</f>
        <v>0.25675730184450102</v>
      </c>
      <c r="P53" s="4">
        <f>P52/(0.99+Assumptions!$C$9)</f>
        <v>0.44895175632236428</v>
      </c>
    </row>
    <row r="54" spans="2:16" x14ac:dyDescent="0.25">
      <c r="B54">
        <f t="shared" si="3"/>
        <v>76</v>
      </c>
      <c r="C54">
        <f t="shared" si="4"/>
        <v>40</v>
      </c>
      <c r="D54" t="b">
        <f>OR(AND(B54 &gt;= 'One person'!$C$6, C54 &gt;= 'One person'!$C$7), 'One ret age'!$C$5="Retired")</f>
        <v>1</v>
      </c>
      <c r="E54">
        <f>IF(D54, 0, VLOOKUP(B54, Withd!$A$2:$AZ$57, MIN(C54, 50) + 2))</f>
        <v>0</v>
      </c>
      <c r="F54">
        <f>IF(D54, VLOOKUP(B54,Ret!$A$2:$AZ$27, MIN(C54, 50) + 2), 0)</f>
        <v>1</v>
      </c>
      <c r="G54">
        <f>VLOOKUP(B54,Mort!$A$2:$E$111,IF('One ret age'!$C$6="M",2,3))</f>
        <v>7.6E-3</v>
      </c>
      <c r="H54" s="4">
        <f t="shared" si="5"/>
        <v>0</v>
      </c>
      <c r="I54" s="4">
        <f>I53/(1+Assumptions!$C$9)</f>
        <v>0.32664754209358454</v>
      </c>
      <c r="J54" s="4">
        <f>J53*(1+Assumptions!$C$10)</f>
        <v>2.6103684386132868</v>
      </c>
      <c r="O54" s="4">
        <f>O53/(1.01+Assumptions!$C$9)</f>
        <v>0.24499742542414218</v>
      </c>
      <c r="P54" s="4">
        <f>P53/(0.99+Assumptions!$C$9)</f>
        <v>0.43672349836805863</v>
      </c>
    </row>
    <row r="55" spans="2:16" x14ac:dyDescent="0.25">
      <c r="B55">
        <f t="shared" si="3"/>
        <v>77</v>
      </c>
      <c r="C55">
        <f t="shared" si="4"/>
        <v>41</v>
      </c>
      <c r="D55" t="b">
        <f>OR(AND(B55 &gt;= 'One person'!$C$6, C55 &gt;= 'One person'!$C$7), 'One ret age'!$C$5="Retired")</f>
        <v>1</v>
      </c>
      <c r="E55">
        <f>IF(D55, 0, VLOOKUP(B55, Withd!$A$2:$AZ$57, MIN(C55, 50) + 2))</f>
        <v>0</v>
      </c>
      <c r="F55">
        <f>IF(D55, VLOOKUP(B55,Ret!$A$2:$AZ$27, MIN(C55, 50) + 2), 0)</f>
        <v>1</v>
      </c>
      <c r="G55">
        <f>VLOOKUP(B55,Mort!$A$2:$E$111,IF('One ret age'!$C$6="M",2,3))</f>
        <v>8.1099999999999992E-3</v>
      </c>
      <c r="H55" s="4">
        <f t="shared" si="5"/>
        <v>0</v>
      </c>
      <c r="I55" s="4">
        <f>I54/(1+Assumptions!$C$9)</f>
        <v>0.31468934691096778</v>
      </c>
      <c r="J55" s="4">
        <f>J54*(1+Assumptions!$C$10)</f>
        <v>2.6952054128682188</v>
      </c>
      <c r="O55" s="4">
        <f>O54/(1.01+Assumptions!$C$9)</f>
        <v>0.23377616929784559</v>
      </c>
      <c r="P55" s="4">
        <f>P54/(0.99+Assumptions!$C$9)</f>
        <v>0.42482830580550451</v>
      </c>
    </row>
    <row r="56" spans="2:16" x14ac:dyDescent="0.25">
      <c r="B56">
        <f t="shared" si="3"/>
        <v>78</v>
      </c>
      <c r="C56">
        <f t="shared" si="4"/>
        <v>42</v>
      </c>
      <c r="D56" t="b">
        <f>OR(AND(B56 &gt;= 'One person'!$C$6, C56 &gt;= 'One person'!$C$7), 'One ret age'!$C$5="Retired")</f>
        <v>1</v>
      </c>
      <c r="E56">
        <f>IF(D56, 0, VLOOKUP(B56, Withd!$A$2:$AZ$57, MIN(C56, 50) + 2))</f>
        <v>0</v>
      </c>
      <c r="F56">
        <f>IF(D56, VLOOKUP(B56,Ret!$A$2:$AZ$27, MIN(C56, 50) + 2), 0)</f>
        <v>1</v>
      </c>
      <c r="G56">
        <f>VLOOKUP(B56,Mort!$A$2:$E$111,IF('One ret age'!$C$6="M",2,3))</f>
        <v>8.6599999999999993E-3</v>
      </c>
      <c r="H56" s="4">
        <f t="shared" si="5"/>
        <v>0</v>
      </c>
      <c r="I56" s="4">
        <f>I55/(1+Assumptions!$C$9)</f>
        <v>0.3031689276598919</v>
      </c>
      <c r="J56" s="4">
        <f>J55*(1+Assumptions!$C$10)</f>
        <v>2.7827995887864359</v>
      </c>
      <c r="O56" s="4">
        <f>O55/(1.01+Assumptions!$C$9)</f>
        <v>0.22306886383382213</v>
      </c>
      <c r="P56" s="4">
        <f>P55/(0.99+Assumptions!$C$9)</f>
        <v>0.41325710681469308</v>
      </c>
    </row>
    <row r="57" spans="2:16" x14ac:dyDescent="0.25">
      <c r="B57">
        <f t="shared" si="3"/>
        <v>79</v>
      </c>
      <c r="C57">
        <f t="shared" si="4"/>
        <v>43</v>
      </c>
      <c r="D57" t="b">
        <f>OR(AND(B57 &gt;= 'One person'!$C$6, C57 &gt;= 'One person'!$C$7), 'One ret age'!$C$5="Retired")</f>
        <v>1</v>
      </c>
      <c r="E57">
        <f>IF(D57, 0, VLOOKUP(B57, Withd!$A$2:$AZ$57, MIN(C57, 50) + 2))</f>
        <v>0</v>
      </c>
      <c r="F57">
        <f>IF(D57, VLOOKUP(B57,Ret!$A$2:$AZ$27, MIN(C57, 50) + 2), 0)</f>
        <v>1</v>
      </c>
      <c r="G57">
        <f>VLOOKUP(B57,Mort!$A$2:$E$111,IF('One ret age'!$C$6="M",2,3))</f>
        <v>9.2499999999999995E-3</v>
      </c>
      <c r="H57" s="4">
        <f t="shared" si="5"/>
        <v>0</v>
      </c>
      <c r="I57" s="4">
        <f>I56/(1+Assumptions!$C$9)</f>
        <v>0.29207025786116753</v>
      </c>
      <c r="J57" s="4">
        <f>J56*(1+Assumptions!$C$10)</f>
        <v>2.873240575421995</v>
      </c>
      <c r="O57" s="4">
        <f>O56/(1.01+Assumptions!$C$9)</f>
        <v>0.21285196930708217</v>
      </c>
      <c r="P57" s="4">
        <f>P56/(0.99+Assumptions!$C$9)</f>
        <v>0.40200107666798934</v>
      </c>
    </row>
    <row r="58" spans="2:16" x14ac:dyDescent="0.25">
      <c r="B58">
        <f t="shared" si="3"/>
        <v>80</v>
      </c>
      <c r="C58">
        <f t="shared" si="4"/>
        <v>44</v>
      </c>
      <c r="D58" t="b">
        <f>OR(AND(B58 &gt;= 'One person'!$C$6, C58 &gt;= 'One person'!$C$7), 'One ret age'!$C$5="Retired")</f>
        <v>1</v>
      </c>
      <c r="E58">
        <f>IF(D58, 0, VLOOKUP(B58, Withd!$A$2:$AZ$57, MIN(C58, 50) + 2))</f>
        <v>0</v>
      </c>
      <c r="F58">
        <f>IF(D58, VLOOKUP(B58,Ret!$A$2:$AZ$27, MIN(C58, 50) + 2), 0)</f>
        <v>1</v>
      </c>
      <c r="G58">
        <f>VLOOKUP(B58,Mort!$A$2:$E$111,IF('One ret age'!$C$6="M",2,3))</f>
        <v>9.9000000000000008E-3</v>
      </c>
      <c r="H58" s="4">
        <f t="shared" si="5"/>
        <v>0</v>
      </c>
      <c r="I58" s="4">
        <f>I57/(1+Assumptions!$C$9)</f>
        <v>0.28137789774678951</v>
      </c>
      <c r="J58" s="4">
        <f>J57*(1+Assumptions!$C$10)</f>
        <v>2.9666208941232095</v>
      </c>
      <c r="O58" s="4">
        <f>O57/(1.01+Assumptions!$C$9)</f>
        <v>0.20310302414797915</v>
      </c>
      <c r="P58" s="4">
        <f>P57/(0.99+Assumptions!$C$9)</f>
        <v>0.39105163099998963</v>
      </c>
    </row>
    <row r="59" spans="2:16" x14ac:dyDescent="0.25">
      <c r="B59">
        <f t="shared" si="3"/>
        <v>81</v>
      </c>
      <c r="C59">
        <f t="shared" si="4"/>
        <v>45</v>
      </c>
      <c r="D59" t="b">
        <f>OR(AND(B59 &gt;= 'One person'!$C$6, C59 &gt;= 'One person'!$C$7), 'One ret age'!$C$5="Retired")</f>
        <v>1</v>
      </c>
      <c r="E59">
        <f>IF(D59, 0, VLOOKUP(B59, Withd!$A$2:$AZ$57, MIN(C59, 50) + 2))</f>
        <v>0</v>
      </c>
      <c r="F59">
        <f>IF(D59, VLOOKUP(B59,Ret!$A$2:$AZ$27, MIN(C59, 50) + 2), 0)</f>
        <v>1</v>
      </c>
      <c r="G59">
        <f>VLOOKUP(B59,Mort!$A$2:$E$111,IF('One ret age'!$C$6="M",2,3))</f>
        <v>0</v>
      </c>
      <c r="H59" s="4">
        <f t="shared" si="5"/>
        <v>0</v>
      </c>
      <c r="I59" s="4">
        <f>I58/(1+Assumptions!$C$9)</f>
        <v>0.27107697278110743</v>
      </c>
      <c r="J59" s="4">
        <f>J58*(1+Assumptions!$C$10)</f>
        <v>3.0630360731822139</v>
      </c>
      <c r="O59" s="4">
        <f>O58/(1.01+Assumptions!$C$9)</f>
        <v>0.19380059556104881</v>
      </c>
      <c r="P59" s="4">
        <f>P58/(0.99+Assumptions!$C$9)</f>
        <v>0.38040041926069029</v>
      </c>
    </row>
    <row r="60" spans="2:16" x14ac:dyDescent="0.25">
      <c r="B60">
        <f t="shared" si="3"/>
        <v>82</v>
      </c>
      <c r="C60">
        <f t="shared" si="4"/>
        <v>46</v>
      </c>
      <c r="D60" t="b">
        <f>OR(AND(B60 &gt;= 'One person'!$C$6, C60 &gt;= 'One person'!$C$7), 'One ret age'!$C$5="Retired")</f>
        <v>1</v>
      </c>
      <c r="E60">
        <f>IF(D60, 0, VLOOKUP(B60, Withd!$A$2:$AZ$57, MIN(C60, 50) + 2))</f>
        <v>0</v>
      </c>
      <c r="F60">
        <f>IF(D60, VLOOKUP(B60,Ret!$A$2:$AZ$27, MIN(C60, 50) + 2), 0)</f>
        <v>1</v>
      </c>
      <c r="G60">
        <f>VLOOKUP(B60,Mort!$A$2:$E$111,IF('One ret age'!$C$6="M",2,3))</f>
        <v>0</v>
      </c>
      <c r="H60" s="4">
        <f t="shared" si="5"/>
        <v>0</v>
      </c>
      <c r="I60" s="4">
        <f>I59/(1+Assumptions!$C$9)</f>
        <v>0.2611531529683116</v>
      </c>
      <c r="J60" s="4">
        <f>J59*(1+Assumptions!$C$10)</f>
        <v>3.1625847455606357</v>
      </c>
      <c r="O60" s="4">
        <f>O59/(1.01+Assumptions!$C$9)</f>
        <v>0.18492423240558092</v>
      </c>
      <c r="P60" s="4">
        <f>P59/(0.99+Assumptions!$C$9)</f>
        <v>0.37003931834697501</v>
      </c>
    </row>
    <row r="61" spans="2:16" x14ac:dyDescent="0.25">
      <c r="B61">
        <f t="shared" si="3"/>
        <v>83</v>
      </c>
      <c r="C61">
        <f t="shared" si="4"/>
        <v>47</v>
      </c>
      <c r="D61" t="b">
        <f>OR(AND(B61 &gt;= 'One person'!$C$6, C61 &gt;= 'One person'!$C$7), 'One ret age'!$C$5="Retired")</f>
        <v>1</v>
      </c>
      <c r="E61">
        <f>IF(D61, 0, VLOOKUP(B61, Withd!$A$2:$AZ$57, MIN(C61, 50) + 2))</f>
        <v>0</v>
      </c>
      <c r="F61">
        <f>IF(D61, VLOOKUP(B61,Ret!$A$2:$AZ$27, MIN(C61, 50) + 2), 0)</f>
        <v>1</v>
      </c>
      <c r="G61">
        <f>VLOOKUP(B61,Mort!$A$2:$E$111,IF('One ret age'!$C$6="M",2,3))</f>
        <v>0</v>
      </c>
      <c r="H61" s="4">
        <f t="shared" si="5"/>
        <v>0</v>
      </c>
      <c r="I61" s="4">
        <f>I60/(1+Assumptions!$C$9)</f>
        <v>0.25159263291744854</v>
      </c>
      <c r="J61" s="4">
        <f>J60*(1+Assumptions!$C$10)</f>
        <v>3.2653687497913562</v>
      </c>
      <c r="O61" s="4">
        <f>O60/(1.01+Assumptions!$C$9)</f>
        <v>0.17645442023433294</v>
      </c>
      <c r="P61" s="4">
        <f>P60/(0.99+Assumptions!$C$9)</f>
        <v>0.35996042640756321</v>
      </c>
    </row>
    <row r="62" spans="2:16" x14ac:dyDescent="0.25">
      <c r="B62">
        <f t="shared" si="3"/>
        <v>84</v>
      </c>
      <c r="C62">
        <f t="shared" si="4"/>
        <v>48</v>
      </c>
      <c r="D62" t="b">
        <f>OR(AND(B62 &gt;= 'One person'!$C$6, C62 &gt;= 'One person'!$C$7), 'One ret age'!$C$5="Retired")</f>
        <v>1</v>
      </c>
      <c r="E62">
        <f>IF(D62, 0, VLOOKUP(B62, Withd!$A$2:$AZ$57, MIN(C62, 50) + 2))</f>
        <v>0</v>
      </c>
      <c r="F62">
        <f>IF(D62, VLOOKUP(B62,Ret!$A$2:$AZ$27, MIN(C62, 50) + 2), 0)</f>
        <v>1</v>
      </c>
      <c r="G62">
        <f>VLOOKUP(B62,Mort!$A$2:$E$111,IF('One ret age'!$C$6="M",2,3))</f>
        <v>0</v>
      </c>
      <c r="H62" s="4">
        <f t="shared" si="5"/>
        <v>0</v>
      </c>
      <c r="I62" s="4">
        <f>I61/(1+Assumptions!$C$9)</f>
        <v>0.24238211263723367</v>
      </c>
      <c r="J62" s="4">
        <f>J61*(1+Assumptions!$C$10)</f>
        <v>3.3714932341595754</v>
      </c>
      <c r="O62" s="4">
        <f>O61/(1.01+Assumptions!$C$9)</f>
        <v>0.16837253839153907</v>
      </c>
      <c r="P62" s="4">
        <f>P61/(0.99+Assumptions!$C$9)</f>
        <v>0.3501560568166957</v>
      </c>
    </row>
    <row r="63" spans="2:16" x14ac:dyDescent="0.25">
      <c r="B63">
        <f t="shared" si="3"/>
        <v>85</v>
      </c>
      <c r="C63">
        <f t="shared" si="4"/>
        <v>49</v>
      </c>
      <c r="D63" t="b">
        <f>OR(AND(B63 &gt;= 'One person'!$C$6, C63 &gt;= 'One person'!$C$7), 'One ret age'!$C$5="Retired")</f>
        <v>1</v>
      </c>
      <c r="E63">
        <f>IF(D63, 0, VLOOKUP(B63, Withd!$A$2:$AZ$57, MIN(C63, 50) + 2))</f>
        <v>0</v>
      </c>
      <c r="F63">
        <f>IF(D63, VLOOKUP(B63,Ret!$A$2:$AZ$27, MIN(C63, 50) + 2), 0)</f>
        <v>1</v>
      </c>
      <c r="G63">
        <f>VLOOKUP(B63,Mort!$A$2:$E$111,IF('One ret age'!$C$6="M",2,3))</f>
        <v>0</v>
      </c>
      <c r="H63" s="4">
        <f t="shared" si="5"/>
        <v>0</v>
      </c>
      <c r="I63" s="4">
        <f>I62/(1+Assumptions!$C$9)</f>
        <v>0.23350877903394379</v>
      </c>
      <c r="J63" s="4">
        <f>J62*(1+Assumptions!$C$10)</f>
        <v>3.4810667642697615</v>
      </c>
      <c r="O63" s="4">
        <f>O62/(1.01+Assumptions!$C$9)</f>
        <v>0.16066081907589605</v>
      </c>
      <c r="P63" s="4">
        <f>P62/(0.99+Assumptions!$C$9)</f>
        <v>0.34061873231196077</v>
      </c>
    </row>
    <row r="64" spans="2:16" x14ac:dyDescent="0.25">
      <c r="B64">
        <f t="shared" si="3"/>
        <v>86</v>
      </c>
      <c r="C64">
        <f t="shared" si="4"/>
        <v>50</v>
      </c>
      <c r="D64" t="b">
        <f>OR(AND(B64 &gt;= 'One person'!$C$6, C64 &gt;= 'One person'!$C$7), 'One ret age'!$C$5="Retired")</f>
        <v>1</v>
      </c>
      <c r="E64">
        <f>IF(D64, 0, VLOOKUP(B64, Withd!$A$2:$AZ$57, MIN(C64, 50) + 2))</f>
        <v>0</v>
      </c>
      <c r="F64">
        <f>IF(D64, VLOOKUP(B64,Ret!$A$2:$AZ$27, MIN(C64, 50) + 2), 0)</f>
        <v>1</v>
      </c>
      <c r="G64">
        <f>VLOOKUP(B64,Mort!$A$2:$E$111,IF('One ret age'!$C$6="M",2,3))</f>
        <v>0</v>
      </c>
      <c r="H64" s="4">
        <f t="shared" si="5"/>
        <v>0</v>
      </c>
      <c r="I64" s="4">
        <f>I63/(1+Assumptions!$C$9)</f>
        <v>0.22496028808665106</v>
      </c>
      <c r="J64" s="4">
        <f>J63*(1+Assumptions!$C$10)</f>
        <v>3.5942014341085287</v>
      </c>
      <c r="O64" s="4">
        <f>O63/(1.01+Assumptions!$C$9)</f>
        <v>0.15330230827852676</v>
      </c>
      <c r="P64" s="4">
        <f>P63/(0.99+Assumptions!$C$9)</f>
        <v>0.33134117929179063</v>
      </c>
    </row>
    <row r="65" spans="5:10" x14ac:dyDescent="0.25">
      <c r="E65" s="4"/>
      <c r="F65" s="4"/>
      <c r="G65" s="4"/>
      <c r="H65" s="4"/>
      <c r="I65" s="4"/>
      <c r="J65" s="4"/>
    </row>
    <row r="66" spans="5:10" x14ac:dyDescent="0.25">
      <c r="E66" s="4"/>
      <c r="F66" s="4"/>
      <c r="G66" s="4"/>
      <c r="H66" s="4"/>
      <c r="I66" s="4"/>
      <c r="J66" s="4"/>
    </row>
    <row r="67" spans="5:10" x14ac:dyDescent="0.25">
      <c r="E67" s="4"/>
      <c r="F67" s="4"/>
      <c r="G67" s="4"/>
      <c r="H67" s="4"/>
      <c r="I67" s="4"/>
      <c r="J67" s="4"/>
    </row>
    <row r="68" spans="5:10" x14ac:dyDescent="0.25">
      <c r="E68" s="4"/>
      <c r="F68" s="4"/>
      <c r="G68" s="4"/>
      <c r="H68" s="4"/>
      <c r="I68" s="4"/>
      <c r="J68" s="4"/>
    </row>
    <row r="69" spans="5:10" x14ac:dyDescent="0.25">
      <c r="E69" s="4"/>
      <c r="F69" s="4"/>
      <c r="G69" s="4"/>
      <c r="H69" s="4"/>
      <c r="I69" s="4"/>
      <c r="J69" s="4"/>
    </row>
    <row r="70" spans="5:10" x14ac:dyDescent="0.25">
      <c r="E70" s="4"/>
      <c r="F70" s="4"/>
      <c r="G70" s="4"/>
      <c r="H70" s="4"/>
      <c r="I70" s="4"/>
      <c r="J70" s="4"/>
    </row>
    <row r="71" spans="5:10" x14ac:dyDescent="0.25">
      <c r="E71" s="4"/>
      <c r="F71" s="4"/>
      <c r="G71" s="4"/>
      <c r="H71" s="4"/>
      <c r="I71" s="4"/>
      <c r="J71" s="4"/>
    </row>
    <row r="72" spans="5:10" x14ac:dyDescent="0.25">
      <c r="E72" s="4"/>
      <c r="F72" s="4"/>
      <c r="G72" s="4"/>
      <c r="H72" s="4"/>
      <c r="I72" s="4"/>
      <c r="J72" s="4"/>
    </row>
    <row r="73" spans="5:10" x14ac:dyDescent="0.25">
      <c r="E73" s="4"/>
      <c r="F73" s="4"/>
      <c r="G73" s="4"/>
      <c r="H73" s="4"/>
      <c r="I73" s="4"/>
      <c r="J73" s="4"/>
    </row>
    <row r="74" spans="5:10" x14ac:dyDescent="0.25">
      <c r="E74" s="4"/>
      <c r="F74" s="4"/>
      <c r="G74" s="4"/>
      <c r="H74" s="4"/>
      <c r="I74" s="4"/>
      <c r="J74" s="4"/>
    </row>
    <row r="75" spans="5:10" x14ac:dyDescent="0.25">
      <c r="E75" s="4"/>
      <c r="F75" s="4"/>
      <c r="G75" s="4"/>
      <c r="H75" s="4"/>
      <c r="I75" s="4"/>
      <c r="J75" s="4"/>
    </row>
    <row r="76" spans="5:10" x14ac:dyDescent="0.25">
      <c r="E76" s="4"/>
      <c r="F76" s="4"/>
      <c r="G76" s="4"/>
      <c r="H76" s="4"/>
      <c r="I76" s="4"/>
      <c r="J76" s="4"/>
    </row>
    <row r="77" spans="5:10" x14ac:dyDescent="0.25">
      <c r="E77" s="4"/>
      <c r="F77" s="4"/>
      <c r="G77" s="4"/>
      <c r="H77" s="4"/>
      <c r="I77" s="4"/>
      <c r="J77" s="4"/>
    </row>
    <row r="78" spans="5:10" x14ac:dyDescent="0.25">
      <c r="E78" s="4"/>
      <c r="F78" s="4"/>
      <c r="G78" s="4"/>
      <c r="H78" s="4"/>
      <c r="I78" s="4"/>
      <c r="J78" s="4"/>
    </row>
    <row r="79" spans="5:10" x14ac:dyDescent="0.25">
      <c r="E79" s="4"/>
      <c r="F79" s="4"/>
      <c r="G79" s="4"/>
      <c r="H79" s="4"/>
      <c r="I79" s="4"/>
      <c r="J79" s="4"/>
    </row>
    <row r="80" spans="5:10" x14ac:dyDescent="0.25">
      <c r="E80" s="4"/>
      <c r="F80" s="4"/>
      <c r="G80" s="4"/>
      <c r="H80" s="4"/>
      <c r="I80" s="4"/>
      <c r="J80" s="4"/>
    </row>
    <row r="81" spans="5:10" x14ac:dyDescent="0.25">
      <c r="E81" s="4"/>
      <c r="F81" s="4"/>
      <c r="G81" s="4"/>
      <c r="H81" s="4"/>
      <c r="I81" s="4"/>
      <c r="J81" s="4"/>
    </row>
    <row r="82" spans="5:10" x14ac:dyDescent="0.25">
      <c r="E82" s="4"/>
      <c r="F82" s="4"/>
      <c r="G82" s="4"/>
      <c r="H82" s="4"/>
      <c r="I82" s="4"/>
      <c r="J82" s="4"/>
    </row>
    <row r="83" spans="5:10" x14ac:dyDescent="0.25">
      <c r="E83" s="4"/>
      <c r="F83" s="4"/>
      <c r="G83" s="4"/>
      <c r="H83" s="4"/>
      <c r="I83" s="4"/>
      <c r="J83" s="4"/>
    </row>
    <row r="84" spans="5:10" x14ac:dyDescent="0.25">
      <c r="E84" s="4"/>
      <c r="F84" s="4"/>
      <c r="G84" s="4"/>
      <c r="H84" s="4"/>
      <c r="I84" s="4"/>
      <c r="J84" s="4"/>
    </row>
    <row r="85" spans="5:10" x14ac:dyDescent="0.25">
      <c r="E85" s="4"/>
      <c r="F85" s="4"/>
      <c r="G85" s="4"/>
      <c r="H85" s="4"/>
      <c r="I85" s="4"/>
      <c r="J85" s="4"/>
    </row>
    <row r="86" spans="5:10" x14ac:dyDescent="0.25">
      <c r="E86" s="4"/>
      <c r="F86" s="4"/>
      <c r="G86" s="4"/>
      <c r="H86" s="4"/>
      <c r="I86" s="4"/>
      <c r="J86" s="4"/>
    </row>
    <row r="87" spans="5:10" x14ac:dyDescent="0.25">
      <c r="E87" s="4"/>
      <c r="F87" s="4"/>
      <c r="G87" s="4"/>
      <c r="H87" s="4"/>
      <c r="I87" s="4"/>
      <c r="J87" s="4"/>
    </row>
    <row r="88" spans="5:10" x14ac:dyDescent="0.25">
      <c r="E88" s="4"/>
      <c r="F88" s="4"/>
      <c r="G88" s="4"/>
      <c r="H88" s="4"/>
      <c r="I88" s="4"/>
      <c r="J88" s="4"/>
    </row>
    <row r="89" spans="5:10" x14ac:dyDescent="0.25">
      <c r="E89" s="4"/>
      <c r="F89" s="4"/>
      <c r="G89" s="4"/>
      <c r="H89" s="4"/>
      <c r="I89" s="4"/>
      <c r="J89" s="4"/>
    </row>
    <row r="90" spans="5:10" x14ac:dyDescent="0.25">
      <c r="E90" s="4"/>
      <c r="F90" s="4"/>
      <c r="G90" s="4"/>
      <c r="H90" s="4"/>
      <c r="I90" s="4"/>
      <c r="J90" s="4"/>
    </row>
    <row r="91" spans="5:10" x14ac:dyDescent="0.25">
      <c r="E91" s="4"/>
      <c r="F91" s="4"/>
      <c r="G91" s="4"/>
      <c r="H91" s="4"/>
      <c r="I91" s="4"/>
      <c r="J91" s="4"/>
    </row>
    <row r="92" spans="5:10" x14ac:dyDescent="0.25">
      <c r="E92" s="4"/>
      <c r="F92" s="4"/>
      <c r="G92" s="4"/>
      <c r="H92" s="4"/>
      <c r="I92" s="4"/>
      <c r="J92" s="4"/>
    </row>
    <row r="93" spans="5:10" x14ac:dyDescent="0.25">
      <c r="E93" s="4"/>
      <c r="F93" s="4"/>
      <c r="G93" s="4"/>
      <c r="H93" s="4"/>
      <c r="I93" s="4"/>
      <c r="J93" s="4"/>
    </row>
    <row r="94" spans="5:10" x14ac:dyDescent="0.25">
      <c r="E94" s="4"/>
      <c r="F94" s="4"/>
      <c r="G94" s="4"/>
      <c r="H94" s="4"/>
      <c r="I94" s="4"/>
      <c r="J94" s="4"/>
    </row>
    <row r="95" spans="5:10" x14ac:dyDescent="0.25">
      <c r="E95" s="4"/>
      <c r="F95" s="4"/>
      <c r="G95" s="4"/>
      <c r="H95" s="4"/>
      <c r="I95" s="4"/>
      <c r="J95" s="4"/>
    </row>
    <row r="96" spans="5:10" x14ac:dyDescent="0.25">
      <c r="E96" s="4"/>
      <c r="F96" s="4"/>
      <c r="G96" s="4"/>
      <c r="H96" s="4"/>
      <c r="I96" s="4"/>
      <c r="J96" s="4"/>
    </row>
    <row r="97" spans="5:10" x14ac:dyDescent="0.25">
      <c r="E97" s="4"/>
      <c r="F97" s="4"/>
      <c r="G97" s="4"/>
      <c r="H97" s="4"/>
      <c r="I97" s="4"/>
      <c r="J97" s="4"/>
    </row>
    <row r="98" spans="5:10" x14ac:dyDescent="0.25">
      <c r="E98" s="4"/>
      <c r="F98" s="4"/>
      <c r="G98" s="4"/>
      <c r="H98" s="4"/>
      <c r="I98" s="4"/>
      <c r="J98" s="4"/>
    </row>
    <row r="99" spans="5:10" x14ac:dyDescent="0.25">
      <c r="E99" s="4"/>
      <c r="F99" s="4"/>
      <c r="G99" s="4"/>
      <c r="H99" s="4"/>
      <c r="I99" s="4"/>
      <c r="J99" s="4"/>
    </row>
    <row r="100" spans="5:10" x14ac:dyDescent="0.25">
      <c r="E100" s="4"/>
      <c r="F100" s="4"/>
      <c r="G100" s="4"/>
      <c r="H100" s="4"/>
      <c r="I100" s="4"/>
      <c r="J100" s="4"/>
    </row>
    <row r="101" spans="5:10" x14ac:dyDescent="0.25">
      <c r="E101" s="4"/>
      <c r="F101" s="4"/>
      <c r="G101" s="4"/>
      <c r="H101" s="4"/>
      <c r="I101" s="4"/>
      <c r="J101" s="4"/>
    </row>
    <row r="102" spans="5:10" x14ac:dyDescent="0.25">
      <c r="E102" s="4"/>
      <c r="F102" s="4"/>
      <c r="G102" s="4"/>
      <c r="H102" s="4"/>
      <c r="I102" s="4"/>
      <c r="J102" s="4"/>
    </row>
    <row r="103" spans="5:10" x14ac:dyDescent="0.25">
      <c r="E103" s="4"/>
      <c r="F103" s="4"/>
      <c r="G103" s="4"/>
      <c r="H103" s="4"/>
      <c r="I103" s="4"/>
      <c r="J103" s="4"/>
    </row>
    <row r="104" spans="5:10" x14ac:dyDescent="0.25">
      <c r="E104" s="4"/>
      <c r="F104" s="4"/>
      <c r="G104" s="4"/>
      <c r="H104" s="4"/>
      <c r="I104" s="4"/>
      <c r="J104" s="4"/>
    </row>
    <row r="105" spans="5:10" x14ac:dyDescent="0.25">
      <c r="E105" s="4"/>
      <c r="F105" s="4"/>
      <c r="G105" s="4"/>
      <c r="H105" s="4"/>
      <c r="I105" s="4"/>
      <c r="J105" s="4"/>
    </row>
    <row r="106" spans="5:10" x14ac:dyDescent="0.25">
      <c r="E106" s="4"/>
      <c r="F106" s="4"/>
      <c r="G106" s="4"/>
      <c r="H106" s="4"/>
      <c r="I106" s="4"/>
      <c r="J106" s="4"/>
    </row>
    <row r="107" spans="5:10" x14ac:dyDescent="0.25">
      <c r="E107" s="4"/>
      <c r="F107" s="4"/>
      <c r="G107" s="4"/>
      <c r="H107" s="4"/>
      <c r="I107" s="4"/>
      <c r="J107" s="4"/>
    </row>
    <row r="108" spans="5:10" x14ac:dyDescent="0.25">
      <c r="E108" s="4"/>
      <c r="F108" s="4"/>
      <c r="G108" s="4"/>
      <c r="H108" s="4"/>
      <c r="I108" s="4"/>
      <c r="J108" s="4"/>
    </row>
    <row r="109" spans="5:10" x14ac:dyDescent="0.25">
      <c r="E109" s="4"/>
      <c r="F109" s="4"/>
      <c r="G109" s="4"/>
      <c r="H109" s="4"/>
      <c r="I109" s="4"/>
      <c r="J109" s="4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0374B-90DC-45E6-AD15-CB452853BCED}">
  <sheetPr codeName="Sheet12"/>
  <dimension ref="A1:L108"/>
  <sheetViews>
    <sheetView workbookViewId="0"/>
  </sheetViews>
  <sheetFormatPr defaultRowHeight="15" x14ac:dyDescent="0.25"/>
  <cols>
    <col min="1" max="1" width="12.140625" bestFit="1" customWidth="1"/>
    <col min="4" max="4" width="13.42578125" bestFit="1" customWidth="1"/>
    <col min="5" max="5" width="11.85546875" bestFit="1" customWidth="1"/>
    <col min="6" max="6" width="16.7109375" bestFit="1" customWidth="1"/>
    <col min="8" max="8" width="11.85546875" bestFit="1" customWidth="1"/>
    <col min="9" max="9" width="12.140625" bestFit="1" customWidth="1"/>
    <col min="10" max="10" width="14.42578125" bestFit="1" customWidth="1"/>
    <col min="11" max="12" width="11.140625" bestFit="1" customWidth="1"/>
  </cols>
  <sheetData>
    <row r="1" spans="1:12" x14ac:dyDescent="0.25">
      <c r="B1" s="2" t="s">
        <v>71</v>
      </c>
    </row>
    <row r="2" spans="1:12" x14ac:dyDescent="0.25">
      <c r="B2" s="2"/>
    </row>
    <row r="3" spans="1:12" x14ac:dyDescent="0.25">
      <c r="B3" t="s">
        <v>178</v>
      </c>
    </row>
    <row r="8" spans="1:12" x14ac:dyDescent="0.25">
      <c r="F8" t="s">
        <v>75</v>
      </c>
      <c r="H8" t="s">
        <v>76</v>
      </c>
      <c r="I8" t="s">
        <v>77</v>
      </c>
    </row>
    <row r="9" spans="1:12" x14ac:dyDescent="0.25">
      <c r="A9" s="3"/>
      <c r="C9" s="12" t="s">
        <v>22</v>
      </c>
      <c r="D9" s="12"/>
      <c r="E9" s="12"/>
      <c r="F9" s="3">
        <f>NPV(Assumptions!C9, F13:F108)*(1+Assumptions!C9)</f>
        <v>156035.74044025489</v>
      </c>
      <c r="H9" s="12">
        <f>SUM(H13:H108)</f>
        <v>156035.74044025489</v>
      </c>
      <c r="I9" s="3">
        <f>'One person'!K10</f>
        <v>156035.73000000001</v>
      </c>
      <c r="K9" t="s">
        <v>83</v>
      </c>
      <c r="L9" t="s">
        <v>21</v>
      </c>
    </row>
    <row r="10" spans="1:12" x14ac:dyDescent="0.25">
      <c r="A10" s="12"/>
      <c r="C10" s="12"/>
      <c r="D10" s="12"/>
      <c r="E10" s="12"/>
      <c r="H10" s="12">
        <f>H9-F9</f>
        <v>0</v>
      </c>
      <c r="I10" s="12">
        <f>I9-H9</f>
        <v>-1.0440254874993116E-2</v>
      </c>
      <c r="K10" s="3">
        <f>NPV(Assumptions!$C$9, 'One person'!O10:DJ10)*(1+Assumptions!$C$9)</f>
        <v>156035.73150266983</v>
      </c>
      <c r="L10" s="3">
        <f>'One person'!K10</f>
        <v>156035.73000000001</v>
      </c>
    </row>
    <row r="11" spans="1:12" x14ac:dyDescent="0.25">
      <c r="C11" s="12"/>
      <c r="D11" s="12"/>
      <c r="E11" s="12"/>
      <c r="K11" s="3">
        <f>K10-L10</f>
        <v>1.5026698238216341E-3</v>
      </c>
    </row>
    <row r="12" spans="1:12" x14ac:dyDescent="0.25">
      <c r="B12" t="s">
        <v>5</v>
      </c>
      <c r="C12" s="12" t="s">
        <v>68</v>
      </c>
      <c r="D12" s="12" t="s">
        <v>69</v>
      </c>
      <c r="E12" s="12" t="s">
        <v>70</v>
      </c>
      <c r="F12" s="12" t="s">
        <v>72</v>
      </c>
      <c r="G12" s="12" t="s">
        <v>73</v>
      </c>
      <c r="H12" s="12" t="s">
        <v>74</v>
      </c>
    </row>
    <row r="13" spans="1:12" x14ac:dyDescent="0.25">
      <c r="B13">
        <f>'One person'!B13</f>
        <v>46</v>
      </c>
      <c r="C13" s="4">
        <f>1-'One person'!H13</f>
        <v>0</v>
      </c>
      <c r="D13" s="4">
        <f>VLOOKUP(B13,Mort!$A$2:$E$111,IF('One ret age'!$C$6="M",4,5))</f>
        <v>2.65E-3</v>
      </c>
      <c r="E13" s="12">
        <f>ROUND(IF(B13 &lt; 65, Assumptions!$C$6, Assumptions!$C$7) * (1+Assumptions!$C$8) ^ (B13 - $B$13), 2)</f>
        <v>10190</v>
      </c>
      <c r="F13" s="12">
        <f t="shared" ref="F13:F44" si="0">C13*E13</f>
        <v>0</v>
      </c>
      <c r="G13">
        <v>1</v>
      </c>
      <c r="H13" s="12">
        <f t="shared" ref="H13:H44" si="1">F13*G13</f>
        <v>0</v>
      </c>
      <c r="K13" s="3">
        <f>NPV(Assumptions!$C$9, 'One person'!O13:DJ13)*(1+Assumptions!$C$9)^(1-'One person'!B13+'One person'!$B$13)</f>
        <v>341229.51157755515</v>
      </c>
      <c r="L13" s="3">
        <f>'One person'!K13</f>
        <v>341229.51</v>
      </c>
    </row>
    <row r="14" spans="1:12" x14ac:dyDescent="0.25">
      <c r="B14">
        <f t="shared" ref="B14:B45" si="2">B13+1</f>
        <v>47</v>
      </c>
      <c r="C14" s="4">
        <f>C13*(1-D13)+IF(C13=1,0,'One person'!I13)</f>
        <v>0</v>
      </c>
      <c r="D14" s="4">
        <f>VLOOKUP(B14,Mort!$A$2:$E$111,IF('One ret age'!$C$6="M",4,5))</f>
        <v>3.0999999999999999E-3</v>
      </c>
      <c r="E14" s="12">
        <f>ROUND(IF(B14 &lt; 65, Assumptions!$C$6, Assumptions!$C$7) * (1+Assumptions!$C$8) ^ (B14 - $B$13), 2)</f>
        <v>10750.45</v>
      </c>
      <c r="F14" s="12">
        <f t="shared" si="0"/>
        <v>0</v>
      </c>
      <c r="G14">
        <f>G13/(1+Assumptions!$C$9)</f>
        <v>0.96339113680154143</v>
      </c>
      <c r="H14" s="12">
        <f t="shared" si="1"/>
        <v>0</v>
      </c>
      <c r="K14" s="3">
        <f>NPV(Assumptions!$C$9, 'One person'!O14:DJ14)*(1+Assumptions!$C$9)^(1-'One person'!B14+'One person'!$B$13)</f>
        <v>331901.53275110794</v>
      </c>
      <c r="L14" s="3">
        <f>'One person'!K14</f>
        <v>331901.57</v>
      </c>
    </row>
    <row r="15" spans="1:12" x14ac:dyDescent="0.25">
      <c r="B15">
        <f t="shared" si="2"/>
        <v>48</v>
      </c>
      <c r="C15" s="4">
        <f>C14*(1-D14)+'One person'!I14</f>
        <v>0</v>
      </c>
      <c r="D15" s="4">
        <f>VLOOKUP(B15,Mort!$A$2:$E$111,IF('One ret age'!$C$6="M",4,5))</f>
        <v>3.63E-3</v>
      </c>
      <c r="E15" s="12">
        <f>ROUND(IF(B15 &lt; 65, Assumptions!$C$6, Assumptions!$C$7) * (1+Assumptions!$C$8) ^ (B15 - $B$13), 2)</f>
        <v>11341.72</v>
      </c>
      <c r="F15" s="12">
        <f t="shared" si="0"/>
        <v>0</v>
      </c>
      <c r="G15">
        <f>G14/(1+Assumptions!$C$9)</f>
        <v>0.9281224824677663</v>
      </c>
      <c r="H15" s="12">
        <f t="shared" si="1"/>
        <v>0</v>
      </c>
      <c r="K15" s="3">
        <f>NPV(Assumptions!$C$9, 'One person'!O15:DJ15)*(1+Assumptions!$C$9)^(1-'One person'!B15+'One person'!$B$13)</f>
        <v>322545.84753146657</v>
      </c>
      <c r="L15" s="3">
        <f>'One person'!K15</f>
        <v>322545.87</v>
      </c>
    </row>
    <row r="16" spans="1:12" x14ac:dyDescent="0.25">
      <c r="B16">
        <f t="shared" si="2"/>
        <v>49</v>
      </c>
      <c r="C16" s="4">
        <f>C15*(1-D15)+'One person'!I15</f>
        <v>0</v>
      </c>
      <c r="D16" s="4">
        <f>VLOOKUP(B16,Mort!$A$2:$E$111,IF('One ret age'!$C$6="M",4,5))</f>
        <v>4.2700000000000004E-3</v>
      </c>
      <c r="E16" s="12">
        <f>ROUND(IF(B16 &lt; 65, Assumptions!$C$6, Assumptions!$C$7) * (1+Assumptions!$C$8) ^ (B16 - $B$13), 2)</f>
        <v>11965.52</v>
      </c>
      <c r="F16" s="12">
        <f t="shared" si="0"/>
        <v>0</v>
      </c>
      <c r="G16">
        <f>G15/(1+Assumptions!$C$9)</f>
        <v>0.89414497347569</v>
      </c>
      <c r="H16" s="12">
        <f t="shared" si="1"/>
        <v>0</v>
      </c>
      <c r="K16" s="3">
        <f>NPV(Assumptions!$C$9, 'One person'!O16:DJ16)*(1+Assumptions!$C$9)^(1-'One person'!B16+'One person'!$B$13)</f>
        <v>313184.23828606628</v>
      </c>
      <c r="L16" s="3">
        <f>'One person'!K16</f>
        <v>313184.23</v>
      </c>
    </row>
    <row r="17" spans="2:12" x14ac:dyDescent="0.25">
      <c r="B17">
        <f t="shared" si="2"/>
        <v>50</v>
      </c>
      <c r="C17" s="4">
        <f>C16*(1-D16)+'One person'!I16</f>
        <v>0</v>
      </c>
      <c r="D17" s="4">
        <f>VLOOKUP(B17,Mort!$A$2:$E$111,IF('One ret age'!$C$6="M",4,5))</f>
        <v>5.0099999999999997E-3</v>
      </c>
      <c r="E17" s="12">
        <f>ROUND(IF(B17 &lt; 65, Assumptions!$C$6, Assumptions!$C$7) * (1+Assumptions!$C$8) ^ (B17 - $B$13), 2)</f>
        <v>12623.62</v>
      </c>
      <c r="F17" s="12">
        <f t="shared" si="0"/>
        <v>0</v>
      </c>
      <c r="G17">
        <f>G16/(1+Assumptions!$C$9)</f>
        <v>0.86141134246212903</v>
      </c>
      <c r="H17" s="12">
        <f t="shared" si="1"/>
        <v>0</v>
      </c>
      <c r="K17" s="3">
        <f>NPV(Assumptions!$C$9, 'One person'!O17:DJ17)*(1+Assumptions!$C$9)^(1-'One person'!B17+'One person'!$B$13)</f>
        <v>303832.2996477026</v>
      </c>
      <c r="L17" s="3">
        <f>'One person'!K17</f>
        <v>303832.28000000003</v>
      </c>
    </row>
    <row r="18" spans="2:12" x14ac:dyDescent="0.25">
      <c r="B18">
        <f t="shared" si="2"/>
        <v>51</v>
      </c>
      <c r="C18" s="4">
        <f>C17*(1-D17)+'One person'!I17</f>
        <v>1.2867284180974065E-2</v>
      </c>
      <c r="D18" s="4">
        <f>VLOOKUP(B18,Mort!$A$2:$E$111,IF('One ret age'!$C$6="M",4,5))</f>
        <v>5.1700000000000001E-3</v>
      </c>
      <c r="E18" s="12">
        <f>ROUND(IF(B18 &lt; 65, Assumptions!$C$6, Assumptions!$C$7) * (1+Assumptions!$C$8) ^ (B18 - $B$13), 2)</f>
        <v>13317.92</v>
      </c>
      <c r="F18" s="12">
        <f t="shared" si="0"/>
        <v>171.36546133947812</v>
      </c>
      <c r="G18">
        <f>G17/(1+Assumptions!$C$9)</f>
        <v>0.8298760524683324</v>
      </c>
      <c r="H18" s="12">
        <f t="shared" si="1"/>
        <v>142.21209258582073</v>
      </c>
      <c r="K18" s="3">
        <f>NPV(Assumptions!$C$9, 'One person'!O18:DJ18)*(1+Assumptions!$C$9)^(1-'One person'!B18+'One person'!$B$13)</f>
        <v>294301.63250115368</v>
      </c>
      <c r="L18" s="3">
        <f>'One person'!K18</f>
        <v>294301.62</v>
      </c>
    </row>
    <row r="19" spans="2:12" x14ac:dyDescent="0.25">
      <c r="B19">
        <f t="shared" si="2"/>
        <v>52</v>
      </c>
      <c r="C19" s="4">
        <f>C18*(1-D18)+'One person'!I18</f>
        <v>2.4611468907685445E-2</v>
      </c>
      <c r="D19" s="4">
        <f>VLOOKUP(B19,Mort!$A$2:$E$111,IF('One ret age'!$C$6="M",4,5))</f>
        <v>5.3400000000000001E-3</v>
      </c>
      <c r="E19" s="12">
        <f>ROUND(IF(B19 &lt; 65, Assumptions!$C$6, Assumptions!$C$7) * (1+Assumptions!$C$8) ^ (B19 - $B$13), 2)</f>
        <v>14050.41</v>
      </c>
      <c r="F19" s="12">
        <f t="shared" si="0"/>
        <v>345.80122885523264</v>
      </c>
      <c r="G19">
        <f>G18/(1+Assumptions!$C$9)</f>
        <v>0.79949523359184238</v>
      </c>
      <c r="H19" s="12">
        <f t="shared" si="1"/>
        <v>276.46643423996034</v>
      </c>
      <c r="K19" s="3">
        <f>NPV(Assumptions!$C$9, 'One person'!O19:DJ19)*(1+Assumptions!$C$9)^(1-'One person'!B19+'One person'!$B$13)</f>
        <v>284588.09259343828</v>
      </c>
      <c r="L19" s="3">
        <f>'One person'!K19</f>
        <v>284588.12</v>
      </c>
    </row>
    <row r="20" spans="2:12" x14ac:dyDescent="0.25">
      <c r="B20">
        <f t="shared" si="2"/>
        <v>53</v>
      </c>
      <c r="C20" s="4">
        <f>C19*(1-D19)+'One person'!I19</f>
        <v>3.9426832828025782E-2</v>
      </c>
      <c r="D20" s="4">
        <f>VLOOKUP(B20,Mort!$A$2:$E$111,IF('One ret age'!$C$6="M",4,5))</f>
        <v>5.5399999999999998E-3</v>
      </c>
      <c r="E20" s="12">
        <f>ROUND(IF(B20 &lt; 65, Assumptions!$C$6, Assumptions!$C$7) * (1+Assumptions!$C$8) ^ (B20 - $B$13), 2)</f>
        <v>14823.18</v>
      </c>
      <c r="F20" s="12">
        <f t="shared" si="0"/>
        <v>584.43103983973526</v>
      </c>
      <c r="G20">
        <f>G19/(1+Assumptions!$C$9)</f>
        <v>0.77022662195745895</v>
      </c>
      <c r="H20" s="12">
        <f t="shared" si="1"/>
        <v>450.14434558284438</v>
      </c>
      <c r="K20" s="3">
        <f>NPV(Assumptions!$C$9, 'One person'!O20:DJ20)*(1+Assumptions!$C$9)^(1-'One person'!B20+'One person'!$B$13)</f>
        <v>274692.66658871825</v>
      </c>
      <c r="L20" s="3">
        <f>'One person'!K20</f>
        <v>274692.67</v>
      </c>
    </row>
    <row r="21" spans="2:12" x14ac:dyDescent="0.25">
      <c r="B21">
        <f t="shared" si="2"/>
        <v>54</v>
      </c>
      <c r="C21" s="4">
        <f>C20*(1-D20)+'One person'!I20</f>
        <v>5.2230715195843741E-2</v>
      </c>
      <c r="D21" s="4">
        <f>VLOOKUP(B21,Mort!$A$2:$E$111,IF('One ret age'!$C$6="M",4,5))</f>
        <v>5.7800000000000004E-3</v>
      </c>
      <c r="E21" s="12">
        <f>ROUND(IF(B21 &lt; 65, Assumptions!$C$6, Assumptions!$C$7) * (1+Assumptions!$C$8) ^ (B21 - $B$13), 2)</f>
        <v>15638.46</v>
      </c>
      <c r="F21" s="12">
        <f t="shared" si="0"/>
        <v>816.80795036159441</v>
      </c>
      <c r="G21">
        <f>G20/(1+Assumptions!$C$9)</f>
        <v>0.74202950092240749</v>
      </c>
      <c r="H21" s="12">
        <f t="shared" si="1"/>
        <v>606.09559575626849</v>
      </c>
      <c r="K21" s="3">
        <f>NPV(Assumptions!$C$9, 'One person'!O21:DJ21)*(1+Assumptions!$C$9)^(1-'One person'!B21+'One person'!$B$13)</f>
        <v>264617.97594292357</v>
      </c>
      <c r="L21" s="3">
        <f>'One person'!K21</f>
        <v>264617.99</v>
      </c>
    </row>
    <row r="22" spans="2:12" x14ac:dyDescent="0.25">
      <c r="B22">
        <f t="shared" si="2"/>
        <v>55</v>
      </c>
      <c r="C22" s="4">
        <f>C21*(1-D21)+'One person'!I21</f>
        <v>7.1110875239559418E-2</v>
      </c>
      <c r="D22" s="4">
        <f>VLOOKUP(B22,Mort!$A$2:$E$111,IF('One ret age'!$C$6="M",4,5))</f>
        <v>5.9899999999999997E-3</v>
      </c>
      <c r="E22" s="12">
        <f>ROUND(IF(B22 &lt; 65, Assumptions!$C$6, Assumptions!$C$7) * (1+Assumptions!$C$8) ^ (B22 - $B$13), 2)</f>
        <v>16498.57</v>
      </c>
      <c r="F22" s="12">
        <f t="shared" si="0"/>
        <v>1173.2277529011378</v>
      </c>
      <c r="G22">
        <f>G21/(1+Assumptions!$C$9)</f>
        <v>0.71486464443391862</v>
      </c>
      <c r="H22" s="12">
        <f t="shared" si="1"/>
        <v>838.69904041767722</v>
      </c>
      <c r="K22" s="3">
        <f>NPV(Assumptions!$C$9, 'One person'!O22:DJ22)*(1+Assumptions!$C$9)^(1-'One person'!B22+'One person'!$B$13)</f>
        <v>254347.27631090322</v>
      </c>
      <c r="L22" s="3">
        <f>'One person'!K22</f>
        <v>254347.3</v>
      </c>
    </row>
    <row r="23" spans="2:12" x14ac:dyDescent="0.25">
      <c r="B23">
        <f t="shared" si="2"/>
        <v>56</v>
      </c>
      <c r="C23" s="4">
        <f>C22*(1-D22)+'One person'!I22</f>
        <v>0.10104126418791975</v>
      </c>
      <c r="D23" s="4">
        <f>VLOOKUP(B23,Mort!$A$2:$E$111,IF('One ret age'!$C$6="M",4,5))</f>
        <v>6.1500000000000001E-3</v>
      </c>
      <c r="E23" s="12">
        <f>ROUND(IF(B23 &lt; 65, Assumptions!$C$6, Assumptions!$C$7) * (1+Assumptions!$C$8) ^ (B23 - $B$13), 2)</f>
        <v>17405.990000000002</v>
      </c>
      <c r="F23" s="12">
        <f t="shared" si="0"/>
        <v>1758.7232340422895</v>
      </c>
      <c r="G23">
        <f>G22/(1+Assumptions!$C$9)</f>
        <v>0.68869426246042253</v>
      </c>
      <c r="H23" s="12">
        <f t="shared" si="1"/>
        <v>1211.2226005407636</v>
      </c>
      <c r="K23" s="3">
        <f>NPV(Assumptions!$C$9, 'One person'!O23:DJ23)*(1+Assumptions!$C$9)^(1-'One person'!B23+'One person'!$B$13)</f>
        <v>243859.60846024798</v>
      </c>
      <c r="L23" s="3">
        <f>'One person'!K23</f>
        <v>243859.62</v>
      </c>
    </row>
    <row r="24" spans="2:12" x14ac:dyDescent="0.25">
      <c r="B24">
        <f t="shared" si="2"/>
        <v>57</v>
      </c>
      <c r="C24" s="4">
        <f>C23*(1-D23)+'One person'!I23</f>
        <v>0.12504567316168069</v>
      </c>
      <c r="D24" s="4">
        <f>VLOOKUP(B24,Mort!$A$2:$E$111,IF('One ret age'!$C$6="M",4,5))</f>
        <v>6.2500000000000003E-3</v>
      </c>
      <c r="E24" s="12">
        <f>ROUND(IF(B24 &lt; 65, Assumptions!$C$6, Assumptions!$C$7) * (1+Assumptions!$C$8) ^ (B24 - $B$13), 2)</f>
        <v>18363.32</v>
      </c>
      <c r="F24" s="12">
        <f t="shared" si="0"/>
        <v>2296.2537108833544</v>
      </c>
      <c r="G24">
        <f>G23/(1+Assumptions!$C$9)</f>
        <v>0.66348194842044561</v>
      </c>
      <c r="H24" s="12">
        <f t="shared" si="1"/>
        <v>1523.5228861645667</v>
      </c>
      <c r="K24" s="3">
        <f>NPV(Assumptions!$C$9, 'One person'!O24:DJ24)*(1+Assumptions!$C$9)^(1-'One person'!B24+'One person'!$B$13)</f>
        <v>233132.9576258724</v>
      </c>
      <c r="L24" s="3">
        <f>'One person'!K24</f>
        <v>233132.93</v>
      </c>
    </row>
    <row r="25" spans="2:12" x14ac:dyDescent="0.25">
      <c r="B25">
        <f t="shared" si="2"/>
        <v>58</v>
      </c>
      <c r="C25" s="4">
        <f>C24*(1-D24)+'One person'!I24</f>
        <v>0.15593326124318257</v>
      </c>
      <c r="D25" s="4">
        <f>VLOOKUP(B25,Mort!$A$2:$E$111,IF('One ret age'!$C$6="M",4,5))</f>
        <v>6.4799999999999996E-3</v>
      </c>
      <c r="E25" s="12">
        <f>ROUND(IF(B25 &lt; 65, Assumptions!$C$6, Assumptions!$C$7) * (1+Assumptions!$C$8) ^ (B25 - $B$13), 2)</f>
        <v>19373.3</v>
      </c>
      <c r="F25" s="12">
        <f t="shared" si="0"/>
        <v>3020.941850042549</v>
      </c>
      <c r="G25">
        <f>G24/(1+Assumptions!$C$9)</f>
        <v>0.63919262853607473</v>
      </c>
      <c r="H25" s="12">
        <f t="shared" si="1"/>
        <v>1930.9637617833293</v>
      </c>
      <c r="K25" s="3">
        <f>NPV(Assumptions!$C$9, 'One person'!O25:DJ25)*(1+Assumptions!$C$9)^(1-'One person'!B25+'One person'!$B$13)</f>
        <v>222189.47226446989</v>
      </c>
      <c r="L25" s="3">
        <f>'One person'!K25</f>
        <v>222189.46</v>
      </c>
    </row>
    <row r="26" spans="2:12" x14ac:dyDescent="0.25">
      <c r="B26">
        <f t="shared" si="2"/>
        <v>59</v>
      </c>
      <c r="C26" s="4">
        <f>C25*(1-D25)+'One person'!I25</f>
        <v>0.19060398334976569</v>
      </c>
      <c r="D26" s="4">
        <f>VLOOKUP(B26,Mort!$A$2:$E$111,IF('One ret age'!$C$6="M",4,5))</f>
        <v>6.7600000000000004E-3</v>
      </c>
      <c r="E26" s="12">
        <f>ROUND(IF(B26 &lt; 65, Assumptions!$C$6, Assumptions!$C$7) * (1+Assumptions!$C$8) ^ (B26 - $B$13), 2)</f>
        <v>20438.84</v>
      </c>
      <c r="F26" s="12">
        <f t="shared" si="0"/>
        <v>3895.7243190485251</v>
      </c>
      <c r="G26">
        <f>G25/(1+Assumptions!$C$9)</f>
        <v>0.61579251304053439</v>
      </c>
      <c r="H26" s="12">
        <f t="shared" si="1"/>
        <v>2398.9578685400161</v>
      </c>
      <c r="K26" s="3">
        <f>NPV(Assumptions!$C$9, 'One person'!O26:DJ26)*(1+Assumptions!$C$9)^(1-'One person'!B26+'One person'!$B$13)</f>
        <v>211029.94608582839</v>
      </c>
      <c r="L26" s="3">
        <f>'One person'!K26</f>
        <v>211029.92</v>
      </c>
    </row>
    <row r="27" spans="2:12" x14ac:dyDescent="0.25">
      <c r="B27">
        <f t="shared" si="2"/>
        <v>60</v>
      </c>
      <c r="C27" s="4">
        <f>C26*(1-D26)+'One person'!I26</f>
        <v>0.23212137622714915</v>
      </c>
      <c r="D27" s="4">
        <f>VLOOKUP(B27,Mort!$A$2:$E$111,IF('One ret age'!$C$6="M",4,5))</f>
        <v>7.1000000000000004E-3</v>
      </c>
      <c r="E27" s="12">
        <f>ROUND(IF(B27 &lt; 65, Assumptions!$C$6, Assumptions!$C$7) * (1+Assumptions!$C$8) ^ (B27 - $B$13), 2)</f>
        <v>21562.97</v>
      </c>
      <c r="F27" s="12">
        <f t="shared" si="0"/>
        <v>5005.2262719447308</v>
      </c>
      <c r="G27">
        <f>G26/(1+Assumptions!$C$9)</f>
        <v>0.59324904917199839</v>
      </c>
      <c r="H27" s="12">
        <f t="shared" si="1"/>
        <v>2969.3457267219178</v>
      </c>
      <c r="K27" s="3">
        <f>NPV(Assumptions!$C$9, 'One person'!O27:DJ27)*(1+Assumptions!$C$9)^(1-'One person'!B27+'One person'!$B$13)</f>
        <v>199655.28297246725</v>
      </c>
      <c r="L27" s="3">
        <f>'One person'!K27</f>
        <v>199655.27</v>
      </c>
    </row>
    <row r="28" spans="2:12" x14ac:dyDescent="0.25">
      <c r="B28">
        <f t="shared" si="2"/>
        <v>61</v>
      </c>
      <c r="C28" s="4">
        <f>C27*(1-D27)+'One person'!I27</f>
        <v>0.29931349043866523</v>
      </c>
      <c r="D28" s="4">
        <f>VLOOKUP(B28,Mort!$A$2:$E$111,IF('One ret age'!$C$6="M",4,5))</f>
        <v>7.3099999999999997E-3</v>
      </c>
      <c r="E28" s="12">
        <f>ROUND(IF(B28 &lt; 65, Assumptions!$C$6, Assumptions!$C$7) * (1+Assumptions!$C$8) ^ (B28 - $B$13), 2)</f>
        <v>22748.94</v>
      </c>
      <c r="F28" s="12">
        <f t="shared" si="0"/>
        <v>6809.0646351797686</v>
      </c>
      <c r="G28">
        <f>G27/(1+Assumptions!$C$9)</f>
        <v>0.57153087588824503</v>
      </c>
      <c r="H28" s="12">
        <f t="shared" si="1"/>
        <v>3891.5906749239666</v>
      </c>
      <c r="K28" s="3">
        <f>NPV(Assumptions!$C$9, 'One person'!O28:DJ28)*(1+Assumptions!$C$9)^(1-'One person'!B28+'One person'!$B$13)</f>
        <v>188028.06072018974</v>
      </c>
      <c r="L28" s="3">
        <f>'One person'!K28</f>
        <v>188028.05</v>
      </c>
    </row>
    <row r="29" spans="2:12" x14ac:dyDescent="0.25">
      <c r="B29">
        <f t="shared" si="2"/>
        <v>62</v>
      </c>
      <c r="C29" s="4">
        <f>C28*(1-D28)+'One person'!I28</f>
        <v>0.37656651635533028</v>
      </c>
      <c r="D29" s="4">
        <f>VLOOKUP(B29,Mort!$A$2:$E$111,IF('One ret age'!$C$6="M",4,5))</f>
        <v>7.5300000000000002E-3</v>
      </c>
      <c r="E29" s="12">
        <f>ROUND(IF(B29 &lt; 65, Assumptions!$C$6, Assumptions!$C$7) * (1+Assumptions!$C$8) ^ (B29 - $B$13), 2)</f>
        <v>24000.13</v>
      </c>
      <c r="F29" s="12">
        <f t="shared" si="0"/>
        <v>9037.6453461750534</v>
      </c>
      <c r="G29">
        <f>G28/(1+Assumptions!$C$9)</f>
        <v>0.55060778023915702</v>
      </c>
      <c r="H29" s="12">
        <f t="shared" si="1"/>
        <v>4976.1978426461937</v>
      </c>
      <c r="K29" s="3">
        <f>NPV(Assumptions!$C$9, 'One person'!O29:DJ29)*(1+Assumptions!$C$9)^(1-'One person'!B29+'One person'!$B$13)</f>
        <v>176139.71912507445</v>
      </c>
      <c r="L29" s="3">
        <f>'One person'!K29</f>
        <v>176139.7</v>
      </c>
    </row>
    <row r="30" spans="2:12" x14ac:dyDescent="0.25">
      <c r="B30">
        <f t="shared" si="2"/>
        <v>63</v>
      </c>
      <c r="C30" s="4">
        <f>C29*(1-D29)+'One person'!I29</f>
        <v>0.48898366431759438</v>
      </c>
      <c r="D30" s="4">
        <f>VLOOKUP(B30,Mort!$A$2:$E$111,IF('One ret age'!$C$6="M",4,5))</f>
        <v>7.7099999999999998E-3</v>
      </c>
      <c r="E30" s="12">
        <f>ROUND(IF(B30 &lt; 65, Assumptions!$C$6, Assumptions!$C$7) * (1+Assumptions!$C$8) ^ (B30 - $B$13), 2)</f>
        <v>25320.13</v>
      </c>
      <c r="F30" s="12">
        <f t="shared" si="0"/>
        <v>12381.129948397851</v>
      </c>
      <c r="G30">
        <f>G29/(1+Assumptions!$C$9)</f>
        <v>0.53045065533637481</v>
      </c>
      <c r="H30" s="12">
        <f t="shared" si="1"/>
        <v>6567.5784949324561</v>
      </c>
      <c r="K30" s="3">
        <f>NPV(Assumptions!$C$9, 'One person'!O30:DJ30)*(1+Assumptions!$C$9)^(1-'One person'!B30+'One person'!$B$13)</f>
        <v>163972.87780073998</v>
      </c>
      <c r="L30" s="3">
        <f>'One person'!K30</f>
        <v>163972.88</v>
      </c>
    </row>
    <row r="31" spans="2:12" x14ac:dyDescent="0.25">
      <c r="B31">
        <f t="shared" si="2"/>
        <v>64</v>
      </c>
      <c r="C31" s="4">
        <f>C30*(1-D30)+'One person'!I30</f>
        <v>0.57603933534490293</v>
      </c>
      <c r="D31" s="4">
        <f>VLOOKUP(B31,Mort!$A$2:$E$111,IF('One ret age'!$C$6="M",4,5))</f>
        <v>7.9299999999999995E-3</v>
      </c>
      <c r="E31" s="12">
        <f>ROUND(IF(B31 &lt; 65, Assumptions!$C$6, Assumptions!$C$7) * (1+Assumptions!$C$8) ^ (B31 - $B$13), 2)</f>
        <v>26712.74</v>
      </c>
      <c r="F31" s="12">
        <f t="shared" si="0"/>
        <v>15387.588994841202</v>
      </c>
      <c r="G31">
        <f>G30/(1+Assumptions!$C$9)</f>
        <v>0.51103145986163279</v>
      </c>
      <c r="H31" s="12">
        <f t="shared" si="1"/>
        <v>7863.5420677844941</v>
      </c>
      <c r="K31" s="3">
        <f>NPV(Assumptions!$C$9, 'One person'!O31:DJ31)*(1+Assumptions!$C$9)^(1-'One person'!B31+'One person'!$B$13)</f>
        <v>151523.40337811428</v>
      </c>
      <c r="L31" s="3">
        <f>'One person'!K31</f>
        <v>151523.39000000001</v>
      </c>
    </row>
    <row r="32" spans="2:12" x14ac:dyDescent="0.25">
      <c r="B32">
        <f t="shared" si="2"/>
        <v>65</v>
      </c>
      <c r="C32" s="4">
        <f>C31*(1-D31)+'One person'!I31</f>
        <v>0.6344337069533571</v>
      </c>
      <c r="D32" s="4">
        <f>VLOOKUP(B32,Mort!$A$2:$E$111,IF('One ret age'!$C$6="M",4,5))</f>
        <v>8.2900000000000005E-3</v>
      </c>
      <c r="E32" s="12">
        <f>ROUND(IF(B32 &lt; 65, Assumptions!$C$6, Assumptions!$C$7) * (1+Assumptions!$C$8) ^ (B32 - $B$13), 2)</f>
        <v>11607.42</v>
      </c>
      <c r="F32" s="12">
        <f t="shared" si="0"/>
        <v>7364.1384987645361</v>
      </c>
      <c r="G32">
        <f>G31/(1+Assumptions!$C$9)</f>
        <v>0.49232317905744966</v>
      </c>
      <c r="H32" s="12">
        <f t="shared" si="1"/>
        <v>3625.5360767311113</v>
      </c>
      <c r="K32" s="3">
        <f>NPV(Assumptions!$C$9, 'One person'!O32:DJ32)*(1+Assumptions!$C$9)^(1-'One person'!B32+'One person'!$B$13)</f>
        <v>147027.6700453494</v>
      </c>
      <c r="L32" s="3">
        <f>'One person'!K32</f>
        <v>147027.70000000001</v>
      </c>
    </row>
    <row r="33" spans="2:12" x14ac:dyDescent="0.25">
      <c r="B33">
        <f t="shared" si="2"/>
        <v>66</v>
      </c>
      <c r="C33" s="4">
        <f>C32*(1-D32)+'One person'!I32</f>
        <v>0.69189582656205861</v>
      </c>
      <c r="D33" s="4">
        <f>VLOOKUP(B33,Mort!$A$2:$E$111,IF('One ret age'!$C$6="M",4,5))</f>
        <v>8.8599999999999998E-3</v>
      </c>
      <c r="E33" s="12">
        <f>ROUND(IF(B33 &lt; 65, Assumptions!$C$6, Assumptions!$C$7) * (1+Assumptions!$C$8) ^ (B33 - $B$13), 2)</f>
        <v>12245.83</v>
      </c>
      <c r="F33" s="12">
        <f t="shared" si="0"/>
        <v>8472.8386697884544</v>
      </c>
      <c r="G33">
        <f>G32/(1+Assumptions!$C$9)</f>
        <v>0.47429978714590526</v>
      </c>
      <c r="H33" s="12">
        <f t="shared" si="1"/>
        <v>4018.665577602259</v>
      </c>
      <c r="K33" s="3">
        <f>NPV(Assumptions!$C$9, 'One person'!O33:DJ33)*(1+Assumptions!$C$9)^(1-'One person'!B33+'One person'!$B$13)</f>
        <v>142481.85989758617</v>
      </c>
      <c r="L33" s="3">
        <f>'One person'!K33</f>
        <v>142481.87</v>
      </c>
    </row>
    <row r="34" spans="2:12" x14ac:dyDescent="0.25">
      <c r="B34">
        <f t="shared" si="2"/>
        <v>67</v>
      </c>
      <c r="C34" s="4">
        <f>C33*(1-D33)+'One person'!I33</f>
        <v>0.71702247844832601</v>
      </c>
      <c r="D34" s="4">
        <f>VLOOKUP(B34,Mort!$A$2:$E$111,IF('One ret age'!$C$6="M",4,5))</f>
        <v>9.6100000000000005E-3</v>
      </c>
      <c r="E34" s="12">
        <f>ROUND(IF(B34 &lt; 65, Assumptions!$C$6, Assumptions!$C$7) * (1+Assumptions!$C$8) ^ (B34 - $B$13), 2)</f>
        <v>12919.35</v>
      </c>
      <c r="F34" s="12">
        <f t="shared" si="0"/>
        <v>9263.4643569413802</v>
      </c>
      <c r="G34">
        <f>G33/(1+Assumptions!$C$9)</f>
        <v>0.4569362111232228</v>
      </c>
      <c r="H34" s="12">
        <f t="shared" si="1"/>
        <v>4232.8123051358161</v>
      </c>
      <c r="K34" s="3">
        <f>NPV(Assumptions!$C$9, 'One person'!O34:DJ34)*(1+Assumptions!$C$9)^(1-'One person'!B34+'One person'!$B$13)</f>
        <v>137903.79158705438</v>
      </c>
      <c r="L34" s="3">
        <f>'One person'!K34</f>
        <v>137903.75</v>
      </c>
    </row>
    <row r="35" spans="2:12" x14ac:dyDescent="0.25">
      <c r="B35">
        <f t="shared" si="2"/>
        <v>68</v>
      </c>
      <c r="C35" s="4">
        <f>C34*(1-D34)+'One person'!I34</f>
        <v>0.73920266279585045</v>
      </c>
      <c r="D35" s="4">
        <f>VLOOKUP(B35,Mort!$A$2:$E$111,IF('One ret age'!$C$6="M",4,5))</f>
        <v>1.0460000000000001E-2</v>
      </c>
      <c r="E35" s="12">
        <f>ROUND(IF(B35 &lt; 65, Assumptions!$C$6, Assumptions!$C$7) * (1+Assumptions!$C$8) ^ (B35 - $B$13), 2)</f>
        <v>13629.91</v>
      </c>
      <c r="F35" s="12">
        <f t="shared" si="0"/>
        <v>10075.265765667789</v>
      </c>
      <c r="G35">
        <f>G34/(1+Assumptions!$C$9)</f>
        <v>0.44020829587979071</v>
      </c>
      <c r="H35" s="12">
        <f t="shared" si="1"/>
        <v>4435.2155732406127</v>
      </c>
      <c r="K35" s="3">
        <f>NPV(Assumptions!$C$9, 'One person'!O35:DJ35)*(1+Assumptions!$C$9)^(1-'One person'!B35+'One person'!$B$13)</f>
        <v>133298.09682817204</v>
      </c>
      <c r="L35" s="3">
        <f>'One person'!K35</f>
        <v>133298.1</v>
      </c>
    </row>
    <row r="36" spans="2:12" x14ac:dyDescent="0.25">
      <c r="B36">
        <f t="shared" si="2"/>
        <v>69</v>
      </c>
      <c r="C36" s="4">
        <f>C35*(1-D35)+'One person'!I35</f>
        <v>0.7454965707662119</v>
      </c>
      <c r="D36" s="4">
        <f>VLOOKUP(B36,Mort!$A$2:$E$111,IF('One ret age'!$C$6="M",4,5))</f>
        <v>1.1650000000000001E-2</v>
      </c>
      <c r="E36" s="12">
        <f>ROUND(IF(B36 &lt; 65, Assumptions!$C$6, Assumptions!$C$7) * (1+Assumptions!$C$8) ^ (B36 - $B$13), 2)</f>
        <v>14379.56</v>
      </c>
      <c r="F36" s="12">
        <f t="shared" si="0"/>
        <v>10719.91266912699</v>
      </c>
      <c r="G36">
        <f>G35/(1+Assumptions!$C$9)</f>
        <v>0.42409277059710088</v>
      </c>
      <c r="H36" s="12">
        <f t="shared" si="1"/>
        <v>4546.2374644090278</v>
      </c>
      <c r="K36" s="3">
        <f>NPV(Assumptions!$C$9, 'One person'!O36:DJ36)*(1+Assumptions!$C$9)^(1-'One person'!B36+'One person'!$B$13)</f>
        <v>128699.17550929401</v>
      </c>
      <c r="L36" s="3">
        <f>'One person'!K36</f>
        <v>128699.18</v>
      </c>
    </row>
    <row r="37" spans="2:12" x14ac:dyDescent="0.25">
      <c r="B37">
        <f t="shared" si="2"/>
        <v>70</v>
      </c>
      <c r="C37" s="4">
        <f>C36*(1-D36)+'One person'!I36</f>
        <v>0.74805412117395165</v>
      </c>
      <c r="D37" s="4">
        <f>VLOOKUP(B37,Mort!$A$2:$E$111,IF('One ret age'!$C$6="M",4,5))</f>
        <v>1.3050000000000001E-2</v>
      </c>
      <c r="E37" s="12">
        <f>ROUND(IF(B37 &lt; 65, Assumptions!$C$6, Assumptions!$C$7) * (1+Assumptions!$C$8) ^ (B37 - $B$13), 2)</f>
        <v>15170.43</v>
      </c>
      <c r="F37" s="12">
        <f t="shared" si="0"/>
        <v>11348.302681480951</v>
      </c>
      <c r="G37">
        <f>G36/(1+Assumptions!$C$9)</f>
        <v>0.40856721637485632</v>
      </c>
      <c r="H37" s="12">
        <f t="shared" si="1"/>
        <v>4636.5444371519898</v>
      </c>
      <c r="K37" s="3">
        <f>NPV(Assumptions!$C$9, 'One person'!O37:DJ37)*(1+Assumptions!$C$9)^(1-'One person'!B37+'One person'!$B$13)</f>
        <v>124120.81053480948</v>
      </c>
      <c r="L37" s="3">
        <f>'One person'!K37</f>
        <v>124120.79</v>
      </c>
    </row>
    <row r="38" spans="2:12" x14ac:dyDescent="0.25">
      <c r="B38">
        <f t="shared" si="2"/>
        <v>71</v>
      </c>
      <c r="C38" s="4">
        <f>C37*(1-D37)+'One person'!I37</f>
        <v>0.74694832214258677</v>
      </c>
      <c r="D38" s="4">
        <f>VLOOKUP(B38,Mort!$A$2:$E$111,IF('One ret age'!$C$6="M",4,5))</f>
        <v>1.4630000000000001E-2</v>
      </c>
      <c r="E38" s="12">
        <f>ROUND(IF(B38 &lt; 65, Assumptions!$C$6, Assumptions!$C$7) * (1+Assumptions!$C$8) ^ (B38 - $B$13), 2)</f>
        <v>16004.81</v>
      </c>
      <c r="F38" s="12">
        <f t="shared" si="0"/>
        <v>11954.765975710894</v>
      </c>
      <c r="G38">
        <f>G37/(1+Assumptions!$C$9)</f>
        <v>0.39361003504321418</v>
      </c>
      <c r="H38" s="12">
        <f t="shared" si="1"/>
        <v>4705.5158546329894</v>
      </c>
      <c r="K38" s="3">
        <f>NPV(Assumptions!$C$9, 'One person'!O38:DJ38)*(1+Assumptions!$C$9)^(1-'One person'!B38+'One person'!$B$13)</f>
        <v>119570.47042007746</v>
      </c>
      <c r="L38" s="3">
        <f>'One person'!K38</f>
        <v>119570.49</v>
      </c>
    </row>
    <row r="39" spans="2:12" x14ac:dyDescent="0.25">
      <c r="B39">
        <f t="shared" si="2"/>
        <v>72</v>
      </c>
      <c r="C39" s="4">
        <f>C38*(1-D38)+'One person'!I38</f>
        <v>0.74115246266428947</v>
      </c>
      <c r="D39" s="4">
        <f>VLOOKUP(B39,Mort!$A$2:$E$111,IF('One ret age'!$C$6="M",4,5))</f>
        <v>1.6330000000000001E-2</v>
      </c>
      <c r="E39" s="12">
        <f>ROUND(IF(B39 &lt; 65, Assumptions!$C$6, Assumptions!$C$7) * (1+Assumptions!$C$8) ^ (B39 - $B$13), 2)</f>
        <v>16885.07</v>
      </c>
      <c r="F39" s="12">
        <f t="shared" si="0"/>
        <v>12514.411212758914</v>
      </c>
      <c r="G39">
        <f>G38/(1+Assumptions!$C$9)</f>
        <v>0.37920041911677665</v>
      </c>
      <c r="H39" s="12">
        <f t="shared" si="1"/>
        <v>4745.4699768778692</v>
      </c>
      <c r="K39" s="3">
        <f>NPV(Assumptions!$C$9, 'One person'!O39:DJ39)*(1+Assumptions!$C$9)^(1-'One person'!B39+'One person'!$B$13)</f>
        <v>115046.34846559545</v>
      </c>
      <c r="L39" s="3">
        <f>'One person'!K39</f>
        <v>115046.35</v>
      </c>
    </row>
    <row r="40" spans="2:12" x14ac:dyDescent="0.25">
      <c r="B40">
        <f t="shared" si="2"/>
        <v>73</v>
      </c>
      <c r="C40" s="4">
        <f>C39*(1-D39)+'One person'!I39</f>
        <v>0.73325355117201219</v>
      </c>
      <c r="D40" s="4">
        <f>VLOOKUP(B40,Mort!$A$2:$E$111,IF('One ret age'!$C$6="M",4,5))</f>
        <v>1.8020000000000001E-2</v>
      </c>
      <c r="E40" s="12">
        <f>ROUND(IF(B40 &lt; 65, Assumptions!$C$6, Assumptions!$C$7) * (1+Assumptions!$C$8) ^ (B40 - $B$13), 2)</f>
        <v>17813.75</v>
      </c>
      <c r="F40" s="12">
        <f t="shared" si="0"/>
        <v>13061.995447190433</v>
      </c>
      <c r="G40">
        <f>G39/(1+Assumptions!$C$9)</f>
        <v>0.36531832284853238</v>
      </c>
      <c r="H40" s="12">
        <f t="shared" si="1"/>
        <v>4771.7862698227746</v>
      </c>
      <c r="K40" s="3">
        <f>NPV(Assumptions!$C$9, 'One person'!O40:DJ40)*(1+Assumptions!$C$9)^(1-'One person'!B40+'One person'!$B$13)</f>
        <v>110530.42514532883</v>
      </c>
      <c r="L40" s="3">
        <f>'One person'!K40</f>
        <v>110530.43</v>
      </c>
    </row>
    <row r="41" spans="2:12" x14ac:dyDescent="0.25">
      <c r="B41">
        <f t="shared" si="2"/>
        <v>74</v>
      </c>
      <c r="C41" s="4">
        <f>C40*(1-D40)+'One person'!I40</f>
        <v>0.72235287480587895</v>
      </c>
      <c r="D41" s="4">
        <f>VLOOKUP(B41,Mort!$A$2:$E$111,IF('One ret age'!$C$6="M",4,5))</f>
        <v>1.9949999999999999E-2</v>
      </c>
      <c r="E41" s="12">
        <f>ROUND(IF(B41 &lt; 65, Assumptions!$C$6, Assumptions!$C$7) * (1+Assumptions!$C$8) ^ (B41 - $B$13), 2)</f>
        <v>18793.509999999998</v>
      </c>
      <c r="F41" s="12">
        <f t="shared" si="0"/>
        <v>13575.545976193032</v>
      </c>
      <c r="G41">
        <f>G40/(1+Assumptions!$C$9)</f>
        <v>0.35194443434348011</v>
      </c>
      <c r="H41" s="12">
        <f t="shared" si="1"/>
        <v>4777.8378494951639</v>
      </c>
      <c r="K41" s="3">
        <f>NPV(Assumptions!$C$9, 'One person'!O41:DJ41)*(1+Assumptions!$C$9)^(1-'One person'!B41+'One person'!$B$13)</f>
        <v>106031.48055193767</v>
      </c>
      <c r="L41" s="3">
        <f>'One person'!K41</f>
        <v>106031.5</v>
      </c>
    </row>
    <row r="42" spans="2:12" x14ac:dyDescent="0.25">
      <c r="B42">
        <f t="shared" si="2"/>
        <v>75</v>
      </c>
      <c r="C42" s="4">
        <f>C41*(1-D41)+'One person'!I41</f>
        <v>0.70996706125453257</v>
      </c>
      <c r="D42" s="4">
        <f>VLOOKUP(B42,Mort!$A$2:$E$111,IF('One ret age'!$C$6="M",4,5))</f>
        <v>2.205E-2</v>
      </c>
      <c r="E42" s="12">
        <f>ROUND(IF(B42 &lt; 65, Assumptions!$C$6, Assumptions!$C$7) * (1+Assumptions!$C$8) ^ (B42 - $B$13), 2)</f>
        <v>19827.150000000001</v>
      </c>
      <c r="F42" s="12">
        <f t="shared" si="0"/>
        <v>14076.623418552806</v>
      </c>
      <c r="G42">
        <f>G41/(1+Assumptions!$C$9)</f>
        <v>0.33906014869314077</v>
      </c>
      <c r="H42" s="12">
        <f t="shared" si="1"/>
        <v>4772.8220293918621</v>
      </c>
      <c r="K42" s="3">
        <f>NPV(Assumptions!$C$9, 'One person'!O42:DJ42)*(1+Assumptions!$C$9)^(1-'One person'!B42+'One person'!$B$13)</f>
        <v>101548.01817391677</v>
      </c>
      <c r="L42" s="3">
        <f>'One person'!K42</f>
        <v>101548.05</v>
      </c>
    </row>
    <row r="43" spans="2:12" x14ac:dyDescent="0.25">
      <c r="B43">
        <f t="shared" si="2"/>
        <v>76</v>
      </c>
      <c r="C43" s="4">
        <f>C42*(1-D42)+'One person'!I42</f>
        <v>0.7003657885864818</v>
      </c>
      <c r="D43" s="4">
        <f>VLOOKUP(B43,Mort!$A$2:$E$111,IF('One ret age'!$C$6="M",4,5))</f>
        <v>2.4389999999999998E-2</v>
      </c>
      <c r="E43" s="12">
        <f>ROUND(IF(B43 &lt; 65, Assumptions!$C$6, Assumptions!$C$7) * (1+Assumptions!$C$8) ^ (B43 - $B$13), 2)</f>
        <v>20917.64</v>
      </c>
      <c r="F43" s="12">
        <f t="shared" si="0"/>
        <v>14649.999433968134</v>
      </c>
      <c r="G43">
        <f>G42/(1+Assumptions!$C$9)</f>
        <v>0.32664754209358454</v>
      </c>
      <c r="H43" s="12">
        <f t="shared" si="1"/>
        <v>4785.3863067780958</v>
      </c>
      <c r="K43" s="3">
        <f>NPV(Assumptions!$C$9, 'One person'!O43:DJ43)*(1+Assumptions!$C$9)^(1-'One person'!B43+'One person'!$B$13)</f>
        <v>97083.177571648164</v>
      </c>
      <c r="L43" s="3">
        <f>'One person'!K43</f>
        <v>97083.18</v>
      </c>
    </row>
    <row r="44" spans="2:12" x14ac:dyDescent="0.25">
      <c r="B44">
        <f t="shared" si="2"/>
        <v>77</v>
      </c>
      <c r="C44" s="4">
        <f>C43*(1-D43)+'One person'!I43</f>
        <v>0.68328386700285748</v>
      </c>
      <c r="D44" s="4">
        <f>VLOOKUP(B44,Mort!$A$2:$E$111,IF('One ret age'!$C$6="M",4,5))</f>
        <v>2.726E-2</v>
      </c>
      <c r="E44" s="12">
        <f>ROUND(IF(B44 &lt; 65, Assumptions!$C$6, Assumptions!$C$7) * (1+Assumptions!$C$8) ^ (B44 - $B$13), 2)</f>
        <v>22068.11</v>
      </c>
      <c r="F44" s="12">
        <f t="shared" si="0"/>
        <v>15078.78353824443</v>
      </c>
      <c r="G44">
        <f>G43/(1+Assumptions!$C$9)</f>
        <v>0.31468934691096778</v>
      </c>
      <c r="H44" s="12">
        <f t="shared" si="1"/>
        <v>4745.1325438619915</v>
      </c>
      <c r="K44" s="3">
        <f>NPV(Assumptions!$C$9, 'One person'!O44:DJ44)*(1+Assumptions!$C$9)^(1-'One person'!B44+'One person'!$B$13)</f>
        <v>92664.620264876954</v>
      </c>
      <c r="L44" s="3">
        <f>'One person'!K44</f>
        <v>92664.639999999999</v>
      </c>
    </row>
    <row r="45" spans="2:12" x14ac:dyDescent="0.25">
      <c r="B45">
        <f t="shared" si="2"/>
        <v>78</v>
      </c>
      <c r="C45" s="4">
        <f>C44*(1-D44)+'One person'!I44</f>
        <v>0.66465754878835959</v>
      </c>
      <c r="D45" s="4">
        <f>VLOOKUP(B45,Mort!$A$2:$E$111,IF('One ret age'!$C$6="M",4,5))</f>
        <v>3.0640000000000001E-2</v>
      </c>
      <c r="E45" s="12">
        <f>ROUND(IF(B45 &lt; 65, Assumptions!$C$6, Assumptions!$C$7) * (1+Assumptions!$C$8) ^ (B45 - $B$13), 2)</f>
        <v>23281.86</v>
      </c>
      <c r="F45" s="12">
        <f t="shared" ref="F45:F76" si="3">C45*E45</f>
        <v>15474.463998833759</v>
      </c>
      <c r="G45">
        <f>G44/(1+Assumptions!$C$9)</f>
        <v>0.3031689276598919</v>
      </c>
      <c r="H45" s="12">
        <f t="shared" ref="H45:H76" si="4">F45*G45</f>
        <v>4691.3766566380336</v>
      </c>
      <c r="K45" s="3">
        <f>NPV(Assumptions!$C$9, 'One person'!O45:DJ45)*(1+Assumptions!$C$9)^(1-'One person'!B45+'One person'!$B$13)</f>
        <v>88312.16619163299</v>
      </c>
      <c r="L45" s="3">
        <f>'One person'!K45</f>
        <v>88312.15</v>
      </c>
    </row>
    <row r="46" spans="2:12" x14ac:dyDescent="0.25">
      <c r="B46">
        <f t="shared" ref="B46:B77" si="5">B45+1</f>
        <v>79</v>
      </c>
      <c r="C46" s="4">
        <f>C45*(1-D45)+'One person'!I45</f>
        <v>0.6442924414934843</v>
      </c>
      <c r="D46" s="4">
        <f>VLOOKUP(B46,Mort!$A$2:$E$111,IF('One ret age'!$C$6="M",4,5))</f>
        <v>3.4590000000000003E-2</v>
      </c>
      <c r="E46" s="12">
        <f>ROUND(IF(B46 &lt; 65, Assumptions!$C$6, Assumptions!$C$7) * (1+Assumptions!$C$8) ^ (B46 - $B$13), 2)</f>
        <v>24562.36</v>
      </c>
      <c r="F46" s="12">
        <f t="shared" si="3"/>
        <v>15825.342893241899</v>
      </c>
      <c r="G46">
        <f>G45/(1+Assumptions!$C$9)</f>
        <v>0.29207025786116753</v>
      </c>
      <c r="H46" s="12">
        <f t="shared" si="4"/>
        <v>4622.1119795705563</v>
      </c>
      <c r="K46" s="3">
        <f>NPV(Assumptions!$C$9, 'One person'!O46:DJ46)*(1+Assumptions!$C$9)^(1-'One person'!B46+'One person'!$B$13)</f>
        <v>84045.359676097767</v>
      </c>
      <c r="L46" s="3">
        <f>'One person'!K46</f>
        <v>84045.34</v>
      </c>
    </row>
    <row r="47" spans="2:12" x14ac:dyDescent="0.25">
      <c r="B47">
        <f t="shared" si="5"/>
        <v>80</v>
      </c>
      <c r="C47" s="4">
        <f>C46*(1-D46)+'One person'!I46</f>
        <v>0.62200636594222469</v>
      </c>
      <c r="D47" s="4">
        <f>VLOOKUP(B47,Mort!$A$2:$E$111,IF('One ret age'!$C$6="M",4,5))</f>
        <v>3.8989999999999997E-2</v>
      </c>
      <c r="E47" s="12">
        <f>ROUND(IF(B47 &lt; 65, Assumptions!$C$6, Assumptions!$C$7) * (1+Assumptions!$C$8) ^ (B47 - $B$13), 2)</f>
        <v>25913.29</v>
      </c>
      <c r="F47" s="12">
        <f t="shared" si="3"/>
        <v>16118.231342506991</v>
      </c>
      <c r="G47">
        <f>G46/(1+Assumptions!$C$9)</f>
        <v>0.28137789774678951</v>
      </c>
      <c r="H47" s="12">
        <f t="shared" si="4"/>
        <v>4535.31405055103</v>
      </c>
      <c r="K47" s="3">
        <f>NPV(Assumptions!$C$9, 'One person'!O47:DJ47)*(1+Assumptions!$C$9)^(1-'One person'!B47+'One person'!$B$13)</f>
        <v>79867.992379074742</v>
      </c>
      <c r="L47" s="3">
        <f>'One person'!K47</f>
        <v>79868</v>
      </c>
    </row>
    <row r="48" spans="2:12" x14ac:dyDescent="0.25">
      <c r="B48">
        <f t="shared" si="5"/>
        <v>81</v>
      </c>
      <c r="C48" s="4">
        <f>C47*(1-D47)+'One person'!I47</f>
        <v>0.59775433773413733</v>
      </c>
      <c r="D48" s="4">
        <f>VLOOKUP(B48,Mort!$A$2:$E$111,IF('One ret age'!$C$6="M",4,5))</f>
        <v>4.4010000000000001E-2</v>
      </c>
      <c r="E48" s="12">
        <f>ROUND(IF(B48 &lt; 65, Assumptions!$C$6, Assumptions!$C$7) * (1+Assumptions!$C$8) ^ (B48 - $B$13), 2)</f>
        <v>27338.52</v>
      </c>
      <c r="F48" s="12">
        <f t="shared" si="3"/>
        <v>16341.718917231468</v>
      </c>
      <c r="G48">
        <f>G47/(1+Assumptions!$C$9)</f>
        <v>0.27107697278110743</v>
      </c>
      <c r="H48" s="12">
        <f t="shared" si="4"/>
        <v>4429.8636941228633</v>
      </c>
      <c r="K48" s="3">
        <f>NPV(Assumptions!$C$9, 'One person'!O48:DJ48)*(1+Assumptions!$C$9)^(1-'One person'!B48+'One person'!$B$13)</f>
        <v>75792.785270970257</v>
      </c>
      <c r="L48" s="3">
        <f>'One person'!K48</f>
        <v>75792.789999999994</v>
      </c>
    </row>
    <row r="49" spans="2:12" x14ac:dyDescent="0.25">
      <c r="B49">
        <f t="shared" si="5"/>
        <v>82</v>
      </c>
      <c r="C49" s="4">
        <f>C48*(1-D48)+'One person'!I48</f>
        <v>0.57144716933045792</v>
      </c>
      <c r="D49" s="4">
        <f>VLOOKUP(B49,Mort!$A$2:$E$111,IF('One ret age'!$C$6="M",4,5))</f>
        <v>4.9669999999999999E-2</v>
      </c>
      <c r="E49" s="12">
        <f>ROUND(IF(B49 &lt; 65, Assumptions!$C$6, Assumptions!$C$7) * (1+Assumptions!$C$8) ^ (B49 - $B$13), 2)</f>
        <v>28842.14</v>
      </c>
      <c r="F49" s="12">
        <f t="shared" si="3"/>
        <v>16481.759260432773</v>
      </c>
      <c r="G49">
        <f>G48/(1+Assumptions!$C$9)</f>
        <v>0.2611531529683116</v>
      </c>
      <c r="H49" s="12">
        <f t="shared" si="4"/>
        <v>4304.2633973266866</v>
      </c>
      <c r="K49" s="3">
        <f>NPV(Assumptions!$C$9, 'One person'!O49:DJ49)*(1+Assumptions!$C$9)^(1-'One person'!B49+'One person'!$B$13)</f>
        <v>71828.281365816394</v>
      </c>
      <c r="L49" s="3">
        <f>'One person'!K49</f>
        <v>71828.28</v>
      </c>
    </row>
    <row r="50" spans="2:12" x14ac:dyDescent="0.25">
      <c r="B50">
        <f t="shared" si="5"/>
        <v>83</v>
      </c>
      <c r="C50" s="4">
        <f>C49*(1-D49)+'One person'!I49</f>
        <v>0.54306338842981405</v>
      </c>
      <c r="D50" s="4">
        <f>VLOOKUP(B50,Mort!$A$2:$E$111,IF('One ret age'!$C$6="M",4,5))</f>
        <v>5.586E-2</v>
      </c>
      <c r="E50" s="12">
        <f>ROUND(IF(B50 &lt; 65, Assumptions!$C$6, Assumptions!$C$7) * (1+Assumptions!$C$8) ^ (B50 - $B$13), 2)</f>
        <v>30428.46</v>
      </c>
      <c r="F50" s="12">
        <f t="shared" si="3"/>
        <v>16524.58259230106</v>
      </c>
      <c r="G50">
        <f>G49/(1+Assumptions!$C$9)</f>
        <v>0.25159263291744854</v>
      </c>
      <c r="H50" s="12">
        <f t="shared" si="4"/>
        <v>4157.4632422588611</v>
      </c>
      <c r="K50" s="3">
        <f>NPV(Assumptions!$C$9, 'One person'!O50:DJ50)*(1+Assumptions!$C$9)^(1-'One person'!B50+'One person'!$B$13)</f>
        <v>67969.477363260972</v>
      </c>
      <c r="L50" s="3">
        <f>'One person'!K50</f>
        <v>67969.48</v>
      </c>
    </row>
    <row r="51" spans="2:12" x14ac:dyDescent="0.25">
      <c r="B51">
        <f t="shared" si="5"/>
        <v>84</v>
      </c>
      <c r="C51" s="4">
        <f>C50*(1-D50)+'One person'!I50</f>
        <v>0.51272786755212463</v>
      </c>
      <c r="D51" s="4">
        <f>VLOOKUP(B51,Mort!$A$2:$E$111,IF('One ret age'!$C$6="M",4,5))</f>
        <v>6.2460000000000002E-2</v>
      </c>
      <c r="E51" s="12">
        <f>ROUND(IF(B51 &lt; 65, Assumptions!$C$6, Assumptions!$C$7) * (1+Assumptions!$C$8) ^ (B51 - $B$13), 2)</f>
        <v>32102.03</v>
      </c>
      <c r="F51" s="12">
        <f t="shared" si="3"/>
        <v>16459.605385994331</v>
      </c>
      <c r="G51">
        <f>G50/(1+Assumptions!$C$9)</f>
        <v>0.24238211263723367</v>
      </c>
      <c r="H51" s="12">
        <f t="shared" si="4"/>
        <v>3989.5139266324959</v>
      </c>
      <c r="K51" s="3">
        <f>NPV(Assumptions!$C$9, 'One person'!O51:DJ51)*(1+Assumptions!$C$9)^(1-'One person'!B51+'One person'!$B$13)</f>
        <v>64198.352312118928</v>
      </c>
      <c r="L51" s="3">
        <f>'One person'!K51</f>
        <v>64198.34</v>
      </c>
    </row>
    <row r="52" spans="2:12" x14ac:dyDescent="0.25">
      <c r="B52">
        <f t="shared" si="5"/>
        <v>85</v>
      </c>
      <c r="C52" s="4">
        <f>C51*(1-D51)+'One person'!I51</f>
        <v>0.48070288494481894</v>
      </c>
      <c r="D52" s="4">
        <f>VLOOKUP(B52,Mort!$A$2:$E$111,IF('One ret age'!$C$6="M",4,5))</f>
        <v>6.9690000000000002E-2</v>
      </c>
      <c r="E52" s="12">
        <f>ROUND(IF(B52 &lt; 65, Assumptions!$C$6, Assumptions!$C$7) * (1+Assumptions!$C$8) ^ (B52 - $B$13), 2)</f>
        <v>33867.64</v>
      </c>
      <c r="F52" s="12">
        <f t="shared" si="3"/>
        <v>16280.272254272548</v>
      </c>
      <c r="G52">
        <f>G51/(1+Assumptions!$C$9)</f>
        <v>0.23350877903394379</v>
      </c>
      <c r="H52" s="12">
        <f t="shared" si="4"/>
        <v>3801.5864964353746</v>
      </c>
      <c r="K52" s="3">
        <f>NPV(Assumptions!$C$9, 'One person'!O52:DJ52)*(1+Assumptions!$C$9)^(1-'One person'!B52+'One person'!$B$13)</f>
        <v>60506.66498088697</v>
      </c>
      <c r="L52" s="3">
        <f>'One person'!K52</f>
        <v>60506.66</v>
      </c>
    </row>
    <row r="53" spans="2:12" x14ac:dyDescent="0.25">
      <c r="B53">
        <f t="shared" si="5"/>
        <v>86</v>
      </c>
      <c r="C53" s="4">
        <f>C52*(1-D52)+'One person'!I52</f>
        <v>0.4472027008930145</v>
      </c>
      <c r="D53" s="4">
        <f>VLOOKUP(B53,Mort!$A$2:$E$111,IF('One ret age'!$C$6="M",4,5))</f>
        <v>7.7679999999999999E-2</v>
      </c>
      <c r="E53" s="12">
        <f>ROUND(IF(B53 &lt; 65, Assumptions!$C$6, Assumptions!$C$7) * (1+Assumptions!$C$8) ^ (B53 - $B$13), 2)</f>
        <v>35730.36</v>
      </c>
      <c r="F53" s="12">
        <f t="shared" si="3"/>
        <v>15978.713495879731</v>
      </c>
      <c r="G53">
        <f>G52/(1+Assumptions!$C$9)</f>
        <v>0.22496028808665106</v>
      </c>
      <c r="H53" s="12">
        <f t="shared" si="4"/>
        <v>3594.5759912871636</v>
      </c>
      <c r="K53" s="3">
        <f>NPV(Assumptions!$C$9, 'One person'!O53:DJ53)*(1+Assumptions!$C$9)^(1-'One person'!B53+'One person'!$B$13)</f>
        <v>56887.799737930749</v>
      </c>
      <c r="L53" s="3">
        <f>'One person'!K53</f>
        <v>56887.79</v>
      </c>
    </row>
    <row r="54" spans="2:12" x14ac:dyDescent="0.25">
      <c r="B54">
        <f t="shared" si="5"/>
        <v>87</v>
      </c>
      <c r="C54" s="4">
        <f>C53*(1-D53)+'One person'!I53</f>
        <v>0.41246399508764514</v>
      </c>
      <c r="D54" s="4">
        <f>VLOOKUP(B54,Mort!$A$2:$E$111,IF('One ret age'!$C$6="M",4,5))</f>
        <v>8.8319999999999996E-2</v>
      </c>
      <c r="E54" s="12">
        <f>ROUND(IF(B54 &lt; 65, Assumptions!$C$6, Assumptions!$C$7) * (1+Assumptions!$C$8) ^ (B54 - $B$13), 2)</f>
        <v>37695.53</v>
      </c>
      <c r="F54" s="12">
        <f t="shared" si="3"/>
        <v>15548.04890074618</v>
      </c>
      <c r="G54">
        <f>G53/(1+Assumptions!$C$9)</f>
        <v>0.21672474767500102</v>
      </c>
      <c r="H54" s="12">
        <f t="shared" si="4"/>
        <v>3369.6469748527929</v>
      </c>
      <c r="K54" s="3">
        <f>NPV(Assumptions!$C$9, 'One person'!O54:DJ54)*(1+Assumptions!$C$9)^(1-'One person'!B54+'One person'!$B$13)</f>
        <v>53437.879675810385</v>
      </c>
      <c r="L54" s="3">
        <f>'One person'!K54</f>
        <v>53437.87</v>
      </c>
    </row>
    <row r="55" spans="2:12" x14ac:dyDescent="0.25">
      <c r="B55">
        <f t="shared" si="5"/>
        <v>88</v>
      </c>
      <c r="C55" s="4">
        <f>C54*(1-D54)+'One person'!I54</f>
        <v>0.37603517504150435</v>
      </c>
      <c r="D55" s="4">
        <f>VLOOKUP(B55,Mort!$A$2:$E$111,IF('One ret age'!$C$6="M",4,5))</f>
        <v>0.10051</v>
      </c>
      <c r="E55" s="12">
        <f>ROUND(IF(B55 &lt; 65, Assumptions!$C$6, Assumptions!$C$7) * (1+Assumptions!$C$8) ^ (B55 - $B$13), 2)</f>
        <v>39768.78</v>
      </c>
      <c r="F55" s="12">
        <f t="shared" si="3"/>
        <v>14954.460148487076</v>
      </c>
      <c r="G55">
        <f>G54/(1+Assumptions!$C$9)</f>
        <v>0.20879070103564645</v>
      </c>
      <c r="H55" s="12">
        <f t="shared" si="4"/>
        <v>3122.3522180122541</v>
      </c>
      <c r="K55" s="3">
        <f>NPV(Assumptions!$C$9, 'One person'!O55:DJ55)*(1+Assumptions!$C$9)^(1-'One person'!B55+'One person'!$B$13)</f>
        <v>50177.907662718622</v>
      </c>
      <c r="L55" s="3">
        <f>'One person'!K55</f>
        <v>50177.9</v>
      </c>
    </row>
    <row r="56" spans="2:12" x14ac:dyDescent="0.25">
      <c r="B56">
        <f t="shared" si="5"/>
        <v>89</v>
      </c>
      <c r="C56" s="4">
        <f>C55*(1-D55)+'One person'!I55</f>
        <v>0.33823987959808277</v>
      </c>
      <c r="D56" s="4">
        <f>VLOOKUP(B56,Mort!$A$2:$E$111,IF('One ret age'!$C$6="M",4,5))</f>
        <v>0.11428000000000001</v>
      </c>
      <c r="E56" s="12">
        <f>ROUND(IF(B56 &lt; 65, Assumptions!$C$6, Assumptions!$C$7) * (1+Assumptions!$C$8) ^ (B56 - $B$13), 2)</f>
        <v>41956.06</v>
      </c>
      <c r="F56" s="12">
        <f t="shared" si="3"/>
        <v>14191.212682809935</v>
      </c>
      <c r="G56">
        <f>G55/(1+Assumptions!$C$9)</f>
        <v>0.20114711082432221</v>
      </c>
      <c r="H56" s="12">
        <f t="shared" si="4"/>
        <v>2854.5214302406971</v>
      </c>
      <c r="K56" s="3">
        <f>NPV(Assumptions!$C$9, 'One person'!O56:DJ56)*(1+Assumptions!$C$9)^(1-'One person'!B56+'One person'!$B$13)</f>
        <v>47123.884738861168</v>
      </c>
      <c r="L56" s="3">
        <f>'One person'!K56</f>
        <v>47123.9</v>
      </c>
    </row>
    <row r="57" spans="2:12" x14ac:dyDescent="0.25">
      <c r="B57">
        <f t="shared" si="5"/>
        <v>90</v>
      </c>
      <c r="C57" s="4">
        <f>C56*(1-D56)+'One person'!I56</f>
        <v>0.29958582615761387</v>
      </c>
      <c r="D57" s="4">
        <f>VLOOKUP(B57,Mort!$A$2:$E$111,IF('One ret age'!$C$6="M",4,5))</f>
        <v>0.12973999999999999</v>
      </c>
      <c r="E57" s="12">
        <f>ROUND(IF(B57 &lt; 65, Assumptions!$C$6, Assumptions!$C$7) * (1+Assumptions!$C$8) ^ (B57 - $B$13), 2)</f>
        <v>44263.65</v>
      </c>
      <c r="F57" s="12">
        <f t="shared" si="3"/>
        <v>13260.762154001466</v>
      </c>
      <c r="G57">
        <f>G56/(1+Assumptions!$C$9)</f>
        <v>0.19378334376138942</v>
      </c>
      <c r="H57" s="12">
        <f t="shared" si="4"/>
        <v>2569.714831026889</v>
      </c>
      <c r="K57" s="3">
        <f>NPV(Assumptions!$C$9, 'One person'!O57:DJ57)*(1+Assumptions!$C$9)^(1-'One person'!B57+'One person'!$B$13)</f>
        <v>44292.887350122117</v>
      </c>
      <c r="L57" s="3">
        <f>'One person'!K57</f>
        <v>44292.89</v>
      </c>
    </row>
    <row r="58" spans="2:12" x14ac:dyDescent="0.25">
      <c r="B58">
        <f t="shared" si="5"/>
        <v>91</v>
      </c>
      <c r="C58" s="4">
        <f>C57*(1-D57)+'One person'!I57</f>
        <v>0.26071756107192506</v>
      </c>
      <c r="D58" s="4">
        <f>VLOOKUP(B58,Mort!$A$2:$E$111,IF('One ret age'!$C$6="M",4,5))</f>
        <v>0.14674000000000001</v>
      </c>
      <c r="E58" s="12">
        <f>ROUND(IF(B58 &lt; 65, Assumptions!$C$6, Assumptions!$C$7) * (1+Assumptions!$C$8) ^ (B58 - $B$13), 2)</f>
        <v>46698.15</v>
      </c>
      <c r="F58" s="12">
        <f t="shared" si="3"/>
        <v>12175.027774570917</v>
      </c>
      <c r="G58">
        <f>G57/(1+Assumptions!$C$9)</f>
        <v>0.18668915583948884</v>
      </c>
      <c r="H58" s="12">
        <f t="shared" si="4"/>
        <v>2272.9456575569748</v>
      </c>
      <c r="K58" s="3">
        <f>NPV(Assumptions!$C$9, 'One person'!O58:DJ58)*(1+Assumptions!$C$9)^(1-'One person'!B58+'One person'!$B$13)</f>
        <v>41692.859249365196</v>
      </c>
      <c r="L58" s="3">
        <f>'One person'!K58</f>
        <v>41692.86</v>
      </c>
    </row>
    <row r="59" spans="2:12" x14ac:dyDescent="0.25">
      <c r="B59">
        <f t="shared" si="5"/>
        <v>92</v>
      </c>
      <c r="C59" s="4">
        <f>C58*(1-D58)+'One person'!I58</f>
        <v>0.22245986616023078</v>
      </c>
      <c r="D59" s="4">
        <f>VLOOKUP(B59,Mort!$A$2:$E$111,IF('One ret age'!$C$6="M",4,5))</f>
        <v>0.16491</v>
      </c>
      <c r="E59" s="12">
        <f>ROUND(IF(B59 &lt; 65, Assumptions!$C$6, Assumptions!$C$7) * (1+Assumptions!$C$8) ^ (B59 - $B$13), 2)</f>
        <v>49266.55</v>
      </c>
      <c r="F59" s="12">
        <f t="shared" si="3"/>
        <v>10959.830119176318</v>
      </c>
      <c r="G59">
        <f>G58/(1+Assumptions!$C$9)</f>
        <v>0.17985467807272526</v>
      </c>
      <c r="H59" s="12">
        <f t="shared" si="4"/>
        <v>1971.1767178162149</v>
      </c>
      <c r="K59" s="3">
        <f>NPV(Assumptions!$C$9, 'One person'!O59:DJ59)*(1+Assumptions!$C$9)^(1-'One person'!B59+'One person'!$B$13)</f>
        <v>39315.572207259385</v>
      </c>
      <c r="L59" s="3">
        <f>'One person'!K59</f>
        <v>39315.589999999997</v>
      </c>
    </row>
    <row r="60" spans="2:12" x14ac:dyDescent="0.25">
      <c r="B60">
        <f t="shared" si="5"/>
        <v>93</v>
      </c>
      <c r="C60" s="4">
        <f>C59*(1-D59)+'One person'!I59</f>
        <v>0.18577400963174712</v>
      </c>
      <c r="D60" s="4">
        <f>VLOOKUP(B60,Mort!$A$2:$E$111,IF('One ret age'!$C$6="M",4,5))</f>
        <v>0.18393000000000001</v>
      </c>
      <c r="E60" s="12">
        <f>ROUND(IF(B60 &lt; 65, Assumptions!$C$6, Assumptions!$C$7) * (1+Assumptions!$C$8) ^ (B60 - $B$13), 2)</f>
        <v>51976.21</v>
      </c>
      <c r="F60" s="12">
        <f t="shared" si="3"/>
        <v>9655.8289371617102</v>
      </c>
      <c r="G60">
        <f>G59/(1+Assumptions!$C$9)</f>
        <v>0.17327040276755803</v>
      </c>
      <c r="H60" s="12">
        <f t="shared" si="4"/>
        <v>1673.0693689966513</v>
      </c>
      <c r="K60" s="3">
        <f>NPV(Assumptions!$C$9, 'One person'!O60:DJ60)*(1+Assumptions!$C$9)^(1-'One person'!B60+'One person'!$B$13)</f>
        <v>37140.970842537005</v>
      </c>
      <c r="L60" s="3">
        <f>'One person'!K60</f>
        <v>37140.94</v>
      </c>
    </row>
    <row r="61" spans="2:12" x14ac:dyDescent="0.25">
      <c r="B61">
        <f t="shared" si="5"/>
        <v>94</v>
      </c>
      <c r="C61" s="4">
        <f>C60*(1-D60)+'One person'!I60</f>
        <v>0.15160459604017987</v>
      </c>
      <c r="D61" s="4">
        <f>VLOOKUP(B61,Mort!$A$2:$E$111,IF('One ret age'!$C$6="M",4,5))</f>
        <v>0.20374</v>
      </c>
      <c r="E61" s="12">
        <f>ROUND(IF(B61 &lt; 65, Assumptions!$C$6, Assumptions!$C$7) * (1+Assumptions!$C$8) ^ (B61 - $B$13), 2)</f>
        <v>54834.9</v>
      </c>
      <c r="F61" s="12">
        <f t="shared" si="3"/>
        <v>8313.2228634036601</v>
      </c>
      <c r="G61">
        <f>G60/(1+Assumptions!$C$9)</f>
        <v>0.16692717029629867</v>
      </c>
      <c r="H61" s="12">
        <f t="shared" si="4"/>
        <v>1387.7027686304664</v>
      </c>
      <c r="K61" s="3">
        <f>NPV(Assumptions!$C$9, 'One person'!O61:DJ61)*(1+Assumptions!$C$9)^(1-'One person'!B61+'One person'!$B$13)</f>
        <v>35148.74272002466</v>
      </c>
      <c r="L61" s="3">
        <f>'One person'!K61</f>
        <v>35148.75</v>
      </c>
    </row>
    <row r="62" spans="2:12" x14ac:dyDescent="0.25">
      <c r="B62">
        <f t="shared" si="5"/>
        <v>95</v>
      </c>
      <c r="C62" s="4">
        <f>C61*(1-D61)+'One person'!I61</f>
        <v>0.12071667564295362</v>
      </c>
      <c r="D62" s="4">
        <f>VLOOKUP(B62,Mort!$A$2:$E$111,IF('One ret age'!$C$6="M",4,5))</f>
        <v>0.22444</v>
      </c>
      <c r="E62" s="12">
        <f>ROUND(IF(B62 &lt; 65, Assumptions!$C$6, Assumptions!$C$7) * (1+Assumptions!$C$8) ^ (B62 - $B$13), 2)</f>
        <v>57850.82</v>
      </c>
      <c r="F62" s="12">
        <f t="shared" si="3"/>
        <v>6983.5586736188943</v>
      </c>
      <c r="G62">
        <f>G61/(1+Assumptions!$C$9)</f>
        <v>0.16081615635481566</v>
      </c>
      <c r="H62" s="12">
        <f t="shared" si="4"/>
        <v>1123.0690635697251</v>
      </c>
      <c r="K62" s="3">
        <f>NPV(Assumptions!$C$9, 'One person'!O62:DJ62)*(1+Assumptions!$C$9)^(1-'One person'!B62+'One person'!$B$13)</f>
        <v>33324.817968370669</v>
      </c>
      <c r="L62" s="3">
        <f>'One person'!K62</f>
        <v>33324.839999999997</v>
      </c>
    </row>
    <row r="63" spans="2:12" x14ac:dyDescent="0.25">
      <c r="B63">
        <f t="shared" si="5"/>
        <v>96</v>
      </c>
      <c r="C63" s="4">
        <f>C62*(1-D62)+'One person'!I62</f>
        <v>9.3623024961649107E-2</v>
      </c>
      <c r="D63" s="4">
        <f>VLOOKUP(B63,Mort!$A$2:$E$111,IF('One ret age'!$C$6="M",4,5))</f>
        <v>0.24607000000000001</v>
      </c>
      <c r="E63" s="12">
        <f>ROUND(IF(B63 &lt; 65, Assumptions!$C$6, Assumptions!$C$7) * (1+Assumptions!$C$8) ^ (B63 - $B$13), 2)</f>
        <v>61032.61</v>
      </c>
      <c r="F63" s="12">
        <f t="shared" si="3"/>
        <v>5714.0575695045945</v>
      </c>
      <c r="G63">
        <f>G62/(1+Assumptions!$C$9)</f>
        <v>0.15492885968672029</v>
      </c>
      <c r="H63" s="12">
        <f t="shared" si="4"/>
        <v>885.27242342761929</v>
      </c>
      <c r="K63" s="3">
        <f>NPV(Assumptions!$C$9, 'One person'!O63:DJ63)*(1+Assumptions!$C$9)^(1-'One person'!B63+'One person'!$B$13)</f>
        <v>31659.578131006252</v>
      </c>
      <c r="L63" s="3">
        <f>'One person'!K63</f>
        <v>31659.57</v>
      </c>
    </row>
    <row r="64" spans="2:12" x14ac:dyDescent="0.25">
      <c r="B64">
        <f t="shared" si="5"/>
        <v>97</v>
      </c>
      <c r="C64" s="4">
        <f t="shared" ref="C64:C108" si="6">C63*(1-D63)</f>
        <v>7.0585207209336115E-2</v>
      </c>
      <c r="D64" s="4">
        <f>VLOOKUP(B64,Mort!$A$2:$E$111,IF('One ret age'!$C$6="M",4,5))</f>
        <v>0.26862000000000003</v>
      </c>
      <c r="E64" s="12">
        <f>ROUND(IF(B64 &lt; 65, Assumptions!$C$6, Assumptions!$C$7) * (1+Assumptions!$C$8) ^ (B64 - $B$13), 2)</f>
        <v>64389.4</v>
      </c>
      <c r="F64" s="12">
        <f t="shared" si="3"/>
        <v>4544.9391410848266</v>
      </c>
      <c r="G64">
        <f>G63/(1+Assumptions!$C$9)</f>
        <v>0.14925709025695597</v>
      </c>
      <c r="H64" s="12">
        <f t="shared" si="4"/>
        <v>678.36439159326983</v>
      </c>
    </row>
    <row r="65" spans="2:8" x14ac:dyDescent="0.25">
      <c r="B65">
        <f t="shared" si="5"/>
        <v>98</v>
      </c>
      <c r="C65" s="4">
        <f t="shared" si="6"/>
        <v>5.1624608848764242E-2</v>
      </c>
      <c r="D65" s="4">
        <f>VLOOKUP(B65,Mort!$A$2:$E$111,IF('One ret age'!$C$6="M",4,5))</f>
        <v>0.28631000000000001</v>
      </c>
      <c r="E65" s="12">
        <f>ROUND(IF(B65 &lt; 65, Assumptions!$C$6, Assumptions!$C$7) * (1+Assumptions!$C$8) ^ (B65 - $B$13), 2)</f>
        <v>67930.820000000007</v>
      </c>
      <c r="F65" s="12">
        <f t="shared" si="3"/>
        <v>3506.9020112758112</v>
      </c>
      <c r="G65">
        <f>G64/(1+Assumptions!$C$9)</f>
        <v>0.14379295785833907</v>
      </c>
      <c r="H65" s="12">
        <f t="shared" si="4"/>
        <v>504.26781312070722</v>
      </c>
    </row>
    <row r="66" spans="2:8" x14ac:dyDescent="0.25">
      <c r="B66">
        <f t="shared" si="5"/>
        <v>99</v>
      </c>
      <c r="C66" s="4">
        <f t="shared" si="6"/>
        <v>3.6843967089274551E-2</v>
      </c>
      <c r="D66" s="4">
        <f>VLOOKUP(B66,Mort!$A$2:$E$111,IF('One ret age'!$C$6="M",4,5))</f>
        <v>0.31012000000000001</v>
      </c>
      <c r="E66" s="12">
        <f>ROUND(IF(B66 &lt; 65, Assumptions!$C$6, Assumptions!$C$7) * (1+Assumptions!$C$8) ^ (B66 - $B$13), 2)</f>
        <v>71667.02</v>
      </c>
      <c r="F66" s="12">
        <f t="shared" si="3"/>
        <v>2640.4973262663812</v>
      </c>
      <c r="G66">
        <f>G65/(1+Assumptions!$C$9)</f>
        <v>0.13852886113520141</v>
      </c>
      <c r="H66" s="12">
        <f t="shared" si="4"/>
        <v>365.78508743822613</v>
      </c>
    </row>
    <row r="67" spans="2:8" x14ac:dyDescent="0.25">
      <c r="B67">
        <f t="shared" si="5"/>
        <v>100</v>
      </c>
      <c r="C67" s="4">
        <f t="shared" si="6"/>
        <v>2.5417916015548728E-2</v>
      </c>
      <c r="D67" s="4">
        <f>VLOOKUP(B67,Mort!$A$2:$E$111,IF('One ret age'!$C$6="M",4,5))</f>
        <v>0.32535999999999998</v>
      </c>
      <c r="E67" s="12">
        <f>ROUND(IF(B67 &lt; 65, Assumptions!$C$6, Assumptions!$C$7) * (1+Assumptions!$C$8) ^ (B67 - $B$13), 2)</f>
        <v>75608.7</v>
      </c>
      <c r="F67" s="12">
        <f t="shared" si="3"/>
        <v>1921.8155866448189</v>
      </c>
      <c r="G67">
        <f>G66/(1+Assumptions!$C$9)</f>
        <v>0.13345747700886454</v>
      </c>
      <c r="H67" s="12">
        <f t="shared" si="4"/>
        <v>256.48065946992847</v>
      </c>
    </row>
    <row r="68" spans="2:8" x14ac:dyDescent="0.25">
      <c r="B68">
        <f t="shared" si="5"/>
        <v>101</v>
      </c>
      <c r="C68" s="4">
        <f t="shared" si="6"/>
        <v>1.7147942860729796E-2</v>
      </c>
      <c r="D68" s="4">
        <f>VLOOKUP(B68,Mort!$A$2:$E$111,IF('One ret age'!$C$6="M",4,5))</f>
        <v>0.36043999999999998</v>
      </c>
      <c r="E68" s="12">
        <f>ROUND(IF(B68 &lt; 65, Assumptions!$C$6, Assumptions!$C$7) * (1+Assumptions!$C$8) ^ (B68 - $B$13), 2)</f>
        <v>79767.179999999993</v>
      </c>
      <c r="F68" s="12">
        <f t="shared" si="3"/>
        <v>1367.8430448015483</v>
      </c>
      <c r="G68">
        <f>G67/(1+Assumptions!$C$9)</f>
        <v>0.12857175049023559</v>
      </c>
      <c r="H68" s="12">
        <f t="shared" si="4"/>
        <v>175.86597466602882</v>
      </c>
    </row>
    <row r="69" spans="2:8" x14ac:dyDescent="0.25">
      <c r="B69">
        <f t="shared" si="5"/>
        <v>102</v>
      </c>
      <c r="C69" s="4">
        <f t="shared" si="6"/>
        <v>1.0967138336008349E-2</v>
      </c>
      <c r="D69" s="4">
        <f>VLOOKUP(B69,Mort!$A$2:$E$111,IF('One ret age'!$C$6="M",4,5))</f>
        <v>0.39716000000000001</v>
      </c>
      <c r="E69" s="12">
        <f>ROUND(IF(B69 &lt; 65, Assumptions!$C$6, Assumptions!$C$7) * (1+Assumptions!$C$8) ^ (B69 - $B$13), 2)</f>
        <v>84154.38</v>
      </c>
      <c r="F69" s="12">
        <f t="shared" si="3"/>
        <v>922.93272704101435</v>
      </c>
      <c r="G69">
        <f>G68/(1+Assumptions!$C$9)</f>
        <v>0.1238648848653522</v>
      </c>
      <c r="H69" s="12">
        <f t="shared" si="4"/>
        <v>114.31895597340078</v>
      </c>
    </row>
    <row r="70" spans="2:8" x14ac:dyDescent="0.25">
      <c r="B70">
        <f t="shared" si="5"/>
        <v>103</v>
      </c>
      <c r="C70" s="4">
        <f t="shared" si="6"/>
        <v>6.6114296744792739E-3</v>
      </c>
      <c r="D70" s="4">
        <f>VLOOKUP(B70,Mort!$A$2:$E$111,IF('One ret age'!$C$6="M",4,5))</f>
        <v>0.45526</v>
      </c>
      <c r="E70" s="12">
        <f>ROUND(IF(B70 &lt; 65, Assumptions!$C$6, Assumptions!$C$7) * (1+Assumptions!$C$8) ^ (B70 - $B$13), 2)</f>
        <v>88782.87</v>
      </c>
      <c r="F70" s="12">
        <f t="shared" si="3"/>
        <v>586.98170130343567</v>
      </c>
      <c r="G70">
        <f>G69/(1+Assumptions!$C$9)</f>
        <v>0.1193303322402237</v>
      </c>
      <c r="H70" s="12">
        <f t="shared" si="4"/>
        <v>70.04472143547072</v>
      </c>
    </row>
    <row r="71" spans="2:8" x14ac:dyDescent="0.25">
      <c r="B71">
        <f t="shared" si="5"/>
        <v>104</v>
      </c>
      <c r="C71" s="4">
        <f t="shared" si="6"/>
        <v>3.6015102008758399E-3</v>
      </c>
      <c r="D71" s="4">
        <f>VLOOKUP(B71,Mort!$A$2:$E$111,IF('One ret age'!$C$6="M",4,5))</f>
        <v>0.52071000000000001</v>
      </c>
      <c r="E71" s="12">
        <f>ROUND(IF(B71 &lt; 65, Assumptions!$C$6, Assumptions!$C$7) * (1+Assumptions!$C$8) ^ (B71 - $B$13), 2)</f>
        <v>93665.93</v>
      </c>
      <c r="F71" s="12">
        <f t="shared" si="3"/>
        <v>337.33880236952234</v>
      </c>
      <c r="G71">
        <f>G70/(1+Assumptions!$C$9)</f>
        <v>0.11496178443181473</v>
      </c>
      <c r="H71" s="12">
        <f t="shared" si="4"/>
        <v>38.781070678491581</v>
      </c>
    </row>
    <row r="72" spans="2:8" x14ac:dyDescent="0.25">
      <c r="B72">
        <f t="shared" si="5"/>
        <v>105</v>
      </c>
      <c r="C72" s="4">
        <f t="shared" si="6"/>
        <v>1.7261678241777812E-3</v>
      </c>
      <c r="D72" s="4">
        <f>VLOOKUP(B72,Mort!$A$2:$E$111,IF('One ret age'!$C$6="M",4,5))</f>
        <v>0.58526999999999996</v>
      </c>
      <c r="E72" s="12">
        <f>ROUND(IF(B72 &lt; 65, Assumptions!$C$6, Assumptions!$C$7) * (1+Assumptions!$C$8) ^ (B72 - $B$13), 2)</f>
        <v>98817.55</v>
      </c>
      <c r="F72" s="12">
        <f t="shared" si="3"/>
        <v>170.57567527407912</v>
      </c>
      <c r="G72">
        <f>G71/(1+Assumptions!$C$9)</f>
        <v>0.11075316419249974</v>
      </c>
      <c r="H72" s="12">
        <f t="shared" si="4"/>
        <v>18.891795770876602</v>
      </c>
    </row>
    <row r="73" spans="2:8" x14ac:dyDescent="0.25">
      <c r="B73">
        <f t="shared" si="5"/>
        <v>106</v>
      </c>
      <c r="C73" s="4">
        <f t="shared" si="6"/>
        <v>7.1589358172125125E-4</v>
      </c>
      <c r="D73" s="4">
        <f>VLOOKUP(B73,Mort!$A$2:$E$111,IF('One ret age'!$C$6="M",4,5))</f>
        <v>0.64480999999999999</v>
      </c>
      <c r="E73" s="12">
        <f>ROUND(IF(B73 &lt; 65, Assumptions!$C$6, Assumptions!$C$7) * (1+Assumptions!$C$8) ^ (B73 - $B$13), 2)</f>
        <v>104252.52</v>
      </c>
      <c r="F73" s="12">
        <f t="shared" si="3"/>
        <v>74.633709946266379</v>
      </c>
      <c r="G73">
        <f>G72/(1+Assumptions!$C$9)</f>
        <v>0.10669861675578009</v>
      </c>
      <c r="H73" s="12">
        <f t="shared" si="4"/>
        <v>7.9633136146187287</v>
      </c>
    </row>
    <row r="74" spans="2:8" x14ac:dyDescent="0.25">
      <c r="B74">
        <f t="shared" si="5"/>
        <v>107</v>
      </c>
      <c r="C74" s="4">
        <f t="shared" si="6"/>
        <v>2.5427824129157123E-4</v>
      </c>
      <c r="D74" s="4">
        <f>VLOOKUP(B74,Mort!$A$2:$E$111,IF('One ret age'!$C$6="M",4,5))</f>
        <v>0.71040000000000003</v>
      </c>
      <c r="E74" s="12">
        <f>ROUND(IF(B74 &lt; 65, Assumptions!$C$6, Assumptions!$C$7) * (1+Assumptions!$C$8) ^ (B74 - $B$13), 2)</f>
        <v>109986.4</v>
      </c>
      <c r="F74" s="12">
        <f t="shared" si="3"/>
        <v>27.967148357991267</v>
      </c>
      <c r="G74">
        <f>G73/(1+Assumptions!$C$9)</f>
        <v>0.10279250169150297</v>
      </c>
      <c r="H74" s="12">
        <f t="shared" si="4"/>
        <v>2.8748131448953318</v>
      </c>
    </row>
    <row r="75" spans="2:8" x14ac:dyDescent="0.25">
      <c r="B75">
        <f t="shared" si="5"/>
        <v>108</v>
      </c>
      <c r="C75" s="4">
        <f t="shared" si="6"/>
        <v>7.3638978678039016E-5</v>
      </c>
      <c r="D75" s="4">
        <f>VLOOKUP(B75,Mort!$A$2:$E$111,IF('One ret age'!$C$6="M",4,5))</f>
        <v>0.78266999999999998</v>
      </c>
      <c r="E75" s="12">
        <f>ROUND(IF(B75 &lt; 65, Assumptions!$C$6, Assumptions!$C$7) * (1+Assumptions!$C$8) ^ (B75 - $B$13), 2)</f>
        <v>116035.66</v>
      </c>
      <c r="F75" s="12">
        <f t="shared" si="3"/>
        <v>8.5447474926321849</v>
      </c>
      <c r="G75">
        <f>G74/(1+Assumptions!$C$9)</f>
        <v>9.9029385059251421E-2</v>
      </c>
      <c r="H75" s="12">
        <f t="shared" si="4"/>
        <v>0.84618108968194572</v>
      </c>
    </row>
    <row r="76" spans="2:8" x14ac:dyDescent="0.25">
      <c r="B76">
        <f t="shared" si="5"/>
        <v>109</v>
      </c>
      <c r="C76" s="4">
        <f t="shared" si="6"/>
        <v>1.6003959236098222E-5</v>
      </c>
      <c r="D76" s="4">
        <f>VLOOKUP(B76,Mort!$A$2:$E$111,IF('One ret age'!$C$6="M",4,5))</f>
        <v>0.86228000000000005</v>
      </c>
      <c r="E76" s="12">
        <f>ROUND(IF(B76 &lt; 65, Assumptions!$C$6, Assumptions!$C$7) * (1+Assumptions!$C$8) ^ (B76 - $B$13), 2)</f>
        <v>122417.62</v>
      </c>
      <c r="F76" s="12">
        <f t="shared" si="3"/>
        <v>1.9591666002601624</v>
      </c>
      <c r="G76">
        <f>G75/(1+Assumptions!$C$9)</f>
        <v>9.5404031848989809E-2</v>
      </c>
      <c r="H76" s="12">
        <f t="shared" si="4"/>
        <v>0.18691239272869761</v>
      </c>
    </row>
    <row r="77" spans="2:8" x14ac:dyDescent="0.25">
      <c r="B77">
        <f t="shared" si="5"/>
        <v>110</v>
      </c>
      <c r="C77" s="4">
        <f t="shared" si="6"/>
        <v>2.2040652659954466E-6</v>
      </c>
      <c r="D77" s="4">
        <f>VLOOKUP(B77,Mort!$A$2:$E$111,IF('One ret age'!$C$6="M",4,5))</f>
        <v>1</v>
      </c>
      <c r="E77" s="12">
        <f>ROUND(IF(B77 &lt; 65, Assumptions!$C$6, Assumptions!$C$7) * (1+Assumptions!$C$8) ^ (B77 - $B$13), 2)</f>
        <v>129150.59</v>
      </c>
      <c r="F77" s="12">
        <f t="shared" ref="F77:F108" si="7">C77*E77</f>
        <v>0.28465632950181885</v>
      </c>
      <c r="G77">
        <f>G76/(1+Assumptions!$C$9)</f>
        <v>9.1911398698448749E-2</v>
      </c>
      <c r="H77" s="12">
        <f t="shared" ref="H77:H108" si="8">F77*G77</f>
        <v>2.6163161392878671E-2</v>
      </c>
    </row>
    <row r="78" spans="2:8" x14ac:dyDescent="0.25">
      <c r="B78">
        <f t="shared" ref="B78:B108" si="9">B77+1</f>
        <v>111</v>
      </c>
      <c r="C78" s="4">
        <f t="shared" si="6"/>
        <v>0</v>
      </c>
      <c r="D78" s="4">
        <f>VLOOKUP(B78,Mort!$A$2:$E$111,IF('One ret age'!$C$6="M",4,5))</f>
        <v>1</v>
      </c>
      <c r="E78" s="12">
        <f>ROUND(IF(B78 &lt; 65, Assumptions!$C$6, Assumptions!$C$7) * (1+Assumptions!$C$8) ^ (B78 - $B$13), 2)</f>
        <v>136253.87</v>
      </c>
      <c r="F78" s="12">
        <f t="shared" si="7"/>
        <v>0</v>
      </c>
      <c r="G78">
        <f>G77/(1+Assumptions!$C$9)</f>
        <v>8.8546626877118256E-2</v>
      </c>
      <c r="H78" s="12">
        <f t="shared" si="8"/>
        <v>0</v>
      </c>
    </row>
    <row r="79" spans="2:8" x14ac:dyDescent="0.25">
      <c r="B79">
        <f t="shared" si="9"/>
        <v>112</v>
      </c>
      <c r="C79" s="4">
        <f t="shared" si="6"/>
        <v>0</v>
      </c>
      <c r="D79" s="4">
        <f>VLOOKUP(B79,Mort!$A$2:$E$111,IF('One ret age'!$C$6="M",4,5))</f>
        <v>1</v>
      </c>
      <c r="E79" s="12">
        <f>ROUND(IF(B79 &lt; 65, Assumptions!$C$6, Assumptions!$C$7) * (1+Assumptions!$C$8) ^ (B79 - $B$13), 2)</f>
        <v>143747.82999999999</v>
      </c>
      <c r="F79" s="12">
        <f t="shared" si="7"/>
        <v>0</v>
      </c>
      <c r="G79">
        <f>G78/(1+Assumptions!$C$9)</f>
        <v>8.5305035527088874E-2</v>
      </c>
      <c r="H79" s="12">
        <f t="shared" si="8"/>
        <v>0</v>
      </c>
    </row>
    <row r="80" spans="2:8" x14ac:dyDescent="0.25">
      <c r="B80">
        <f t="shared" si="9"/>
        <v>113</v>
      </c>
      <c r="C80" s="4">
        <f t="shared" si="6"/>
        <v>0</v>
      </c>
      <c r="D80" s="4">
        <f>VLOOKUP(B80,Mort!$A$2:$E$111,IF('One ret age'!$C$6="M",4,5))</f>
        <v>1</v>
      </c>
      <c r="E80" s="12">
        <f>ROUND(IF(B80 &lt; 65, Assumptions!$C$6, Assumptions!$C$7) * (1+Assumptions!$C$8) ^ (B80 - $B$13), 2)</f>
        <v>151653.96</v>
      </c>
      <c r="F80" s="12">
        <f t="shared" si="7"/>
        <v>0</v>
      </c>
      <c r="G80">
        <f>G79/(1+Assumptions!$C$9)</f>
        <v>8.2182115151338025E-2</v>
      </c>
      <c r="H80" s="12">
        <f t="shared" si="8"/>
        <v>0</v>
      </c>
    </row>
    <row r="81" spans="2:8" x14ac:dyDescent="0.25">
      <c r="B81">
        <f t="shared" si="9"/>
        <v>114</v>
      </c>
      <c r="C81" s="4">
        <f t="shared" si="6"/>
        <v>0</v>
      </c>
      <c r="D81" s="4">
        <f>VLOOKUP(B81,Mort!$A$2:$E$111,IF('One ret age'!$C$6="M",4,5))</f>
        <v>1</v>
      </c>
      <c r="E81" s="12">
        <f>ROUND(IF(B81 &lt; 65, Assumptions!$C$6, Assumptions!$C$7) * (1+Assumptions!$C$8) ^ (B81 - $B$13), 2)</f>
        <v>159994.93</v>
      </c>
      <c r="F81" s="12">
        <f t="shared" si="7"/>
        <v>0</v>
      </c>
      <c r="G81">
        <f>G80/(1+Assumptions!$C$9)</f>
        <v>7.9173521340402717E-2</v>
      </c>
      <c r="H81" s="12">
        <f t="shared" si="8"/>
        <v>0</v>
      </c>
    </row>
    <row r="82" spans="2:8" x14ac:dyDescent="0.25">
      <c r="B82">
        <f t="shared" si="9"/>
        <v>115</v>
      </c>
      <c r="C82" s="4">
        <f t="shared" si="6"/>
        <v>0</v>
      </c>
      <c r="D82" s="4">
        <f>VLOOKUP(B82,Mort!$A$2:$E$111,IF('One ret age'!$C$6="M",4,5))</f>
        <v>1</v>
      </c>
      <c r="E82" s="12">
        <f>ROUND(IF(B82 &lt; 65, Assumptions!$C$6, Assumptions!$C$7) * (1+Assumptions!$C$8) ^ (B82 - $B$13), 2)</f>
        <v>168794.65</v>
      </c>
      <c r="F82" s="12">
        <f t="shared" si="7"/>
        <v>0</v>
      </c>
      <c r="G82">
        <f>G81/(1+Assumptions!$C$9)</f>
        <v>7.6275068728711676E-2</v>
      </c>
      <c r="H82" s="12">
        <f t="shared" si="8"/>
        <v>0</v>
      </c>
    </row>
    <row r="83" spans="2:8" x14ac:dyDescent="0.25">
      <c r="B83">
        <f t="shared" si="9"/>
        <v>116</v>
      </c>
      <c r="C83" s="4">
        <f t="shared" si="6"/>
        <v>0</v>
      </c>
      <c r="D83" s="4">
        <f>VLOOKUP(B83,Mort!$A$2:$E$111,IF('One ret age'!$C$6="M",4,5))</f>
        <v>1</v>
      </c>
      <c r="E83" s="12">
        <f>ROUND(IF(B83 &lt; 65, Assumptions!$C$6, Assumptions!$C$7) * (1+Assumptions!$C$8) ^ (B83 - $B$13), 2)</f>
        <v>178078.36</v>
      </c>
      <c r="F83" s="12">
        <f t="shared" si="7"/>
        <v>0</v>
      </c>
      <c r="G83">
        <f>G82/(1+Assumptions!$C$9)</f>
        <v>7.3482725172169236E-2</v>
      </c>
      <c r="H83" s="12">
        <f t="shared" si="8"/>
        <v>0</v>
      </c>
    </row>
    <row r="84" spans="2:8" x14ac:dyDescent="0.25">
      <c r="B84">
        <f t="shared" si="9"/>
        <v>117</v>
      </c>
      <c r="C84" s="4">
        <f t="shared" si="6"/>
        <v>0</v>
      </c>
      <c r="D84" s="4">
        <f>VLOOKUP(B84,Mort!$A$2:$E$111,IF('One ret age'!$C$6="M",4,5))</f>
        <v>1</v>
      </c>
      <c r="E84" s="12">
        <f>ROUND(IF(B84 &lt; 65, Assumptions!$C$6, Assumptions!$C$7) * (1+Assumptions!$C$8) ^ (B84 - $B$13), 2)</f>
        <v>187872.67</v>
      </c>
      <c r="F84" s="12">
        <f t="shared" si="7"/>
        <v>0</v>
      </c>
      <c r="G84">
        <f>G83/(1+Assumptions!$C$9)</f>
        <v>7.0792606138891365E-2</v>
      </c>
      <c r="H84" s="12">
        <f t="shared" si="8"/>
        <v>0</v>
      </c>
    </row>
    <row r="85" spans="2:8" x14ac:dyDescent="0.25">
      <c r="B85">
        <f t="shared" si="9"/>
        <v>118</v>
      </c>
      <c r="C85" s="4">
        <f t="shared" si="6"/>
        <v>0</v>
      </c>
      <c r="D85" s="4">
        <f>VLOOKUP(B85,Mort!$A$2:$E$111,IF('One ret age'!$C$6="M",4,5))</f>
        <v>1</v>
      </c>
      <c r="E85" s="12">
        <f>ROUND(IF(B85 &lt; 65, Assumptions!$C$6, Assumptions!$C$7) * (1+Assumptions!$C$8) ^ (B85 - $B$13), 2)</f>
        <v>198205.66</v>
      </c>
      <c r="F85" s="12">
        <f t="shared" si="7"/>
        <v>0</v>
      </c>
      <c r="G85">
        <f>G84/(1+Assumptions!$C$9)</f>
        <v>6.8200969305290335E-2</v>
      </c>
      <c r="H85" s="12">
        <f t="shared" si="8"/>
        <v>0</v>
      </c>
    </row>
    <row r="86" spans="2:8" x14ac:dyDescent="0.25">
      <c r="B86">
        <f t="shared" si="9"/>
        <v>119</v>
      </c>
      <c r="C86" s="4">
        <f t="shared" si="6"/>
        <v>0</v>
      </c>
      <c r="D86" s="4">
        <f>VLOOKUP(B86,Mort!$A$2:$E$111,IF('One ret age'!$C$6="M",4,5))</f>
        <v>1</v>
      </c>
      <c r="E86" s="12">
        <f>ROUND(IF(B86 &lt; 65, Assumptions!$C$6, Assumptions!$C$7) * (1+Assumptions!$C$8) ^ (B86 - $B$13), 2)</f>
        <v>209106.98</v>
      </c>
      <c r="F86" s="12">
        <f t="shared" si="7"/>
        <v>0</v>
      </c>
      <c r="G86">
        <f>G85/(1+Assumptions!$C$9)</f>
        <v>6.5704209349990689E-2</v>
      </c>
      <c r="H86" s="12">
        <f t="shared" si="8"/>
        <v>0</v>
      </c>
    </row>
    <row r="87" spans="2:8" x14ac:dyDescent="0.25">
      <c r="B87">
        <f t="shared" si="9"/>
        <v>120</v>
      </c>
      <c r="C87" s="4">
        <f t="shared" si="6"/>
        <v>0</v>
      </c>
      <c r="D87" s="4">
        <f>VLOOKUP(B87,Mort!$A$2:$E$111,IF('One ret age'!$C$6="M",4,5))</f>
        <v>1</v>
      </c>
      <c r="E87" s="12">
        <f>ROUND(IF(B87 &lt; 65, Assumptions!$C$6, Assumptions!$C$7) * (1+Assumptions!$C$8) ^ (B87 - $B$13), 2)</f>
        <v>220607.86</v>
      </c>
      <c r="F87" s="12">
        <f t="shared" si="7"/>
        <v>0</v>
      </c>
      <c r="G87">
        <f>G86/(1+Assumptions!$C$9)</f>
        <v>6.3298852938333997E-2</v>
      </c>
      <c r="H87" s="12">
        <f t="shared" si="8"/>
        <v>0</v>
      </c>
    </row>
    <row r="88" spans="2:8" x14ac:dyDescent="0.25">
      <c r="B88">
        <f t="shared" si="9"/>
        <v>121</v>
      </c>
      <c r="C88" s="4">
        <f t="shared" si="6"/>
        <v>0</v>
      </c>
      <c r="D88" s="4">
        <f>VLOOKUP(B88,Mort!$A$2:$E$111,IF('One ret age'!$C$6="M",4,5))</f>
        <v>1</v>
      </c>
      <c r="E88" s="12">
        <f>ROUND(IF(B88 &lt; 65, Assumptions!$C$6, Assumptions!$C$7) * (1+Assumptions!$C$8) ^ (B88 - $B$13), 2)</f>
        <v>232741.29</v>
      </c>
      <c r="F88" s="12">
        <f t="shared" si="7"/>
        <v>0</v>
      </c>
      <c r="G88">
        <f>G87/(1+Assumptions!$C$9)</f>
        <v>6.0981553890495178E-2</v>
      </c>
      <c r="H88" s="12">
        <f t="shared" si="8"/>
        <v>0</v>
      </c>
    </row>
    <row r="89" spans="2:8" x14ac:dyDescent="0.25">
      <c r="B89">
        <f t="shared" si="9"/>
        <v>122</v>
      </c>
      <c r="C89" s="4">
        <f t="shared" si="6"/>
        <v>0</v>
      </c>
      <c r="D89" s="4">
        <f>VLOOKUP(B89,Mort!$A$2:$E$111,IF('One ret age'!$C$6="M",4,5))</f>
        <v>1</v>
      </c>
      <c r="E89" s="12">
        <f>ROUND(IF(B89 &lt; 65, Assumptions!$C$6, Assumptions!$C$7) * (1+Assumptions!$C$8) ^ (B89 - $B$13), 2)</f>
        <v>245542.06</v>
      </c>
      <c r="F89" s="12">
        <f t="shared" si="7"/>
        <v>0</v>
      </c>
      <c r="G89">
        <f>G88/(1+Assumptions!$C$9)</f>
        <v>5.8749088526488608E-2</v>
      </c>
      <c r="H89" s="12">
        <f t="shared" si="8"/>
        <v>0</v>
      </c>
    </row>
    <row r="90" spans="2:8" x14ac:dyDescent="0.25">
      <c r="B90">
        <f t="shared" si="9"/>
        <v>123</v>
      </c>
      <c r="C90" s="4">
        <f t="shared" si="6"/>
        <v>0</v>
      </c>
      <c r="D90" s="4">
        <f>VLOOKUP(B90,Mort!$A$2:$E$111,IF('One ret age'!$C$6="M",4,5))</f>
        <v>1</v>
      </c>
      <c r="E90" s="12">
        <f>ROUND(IF(B90 &lt; 65, Assumptions!$C$6, Assumptions!$C$7) * (1+Assumptions!$C$8) ^ (B90 - $B$13), 2)</f>
        <v>259046.88</v>
      </c>
      <c r="F90" s="12">
        <f t="shared" si="7"/>
        <v>0</v>
      </c>
      <c r="G90">
        <f>G89/(1+Assumptions!$C$9)</f>
        <v>5.659835118158825E-2</v>
      </c>
      <c r="H90" s="12">
        <f t="shared" si="8"/>
        <v>0</v>
      </c>
    </row>
    <row r="91" spans="2:8" x14ac:dyDescent="0.25">
      <c r="B91">
        <f t="shared" si="9"/>
        <v>124</v>
      </c>
      <c r="C91" s="4">
        <f t="shared" si="6"/>
        <v>0</v>
      </c>
      <c r="D91" s="4">
        <f>VLOOKUP(B91,Mort!$A$2:$E$111,IF('One ret age'!$C$6="M",4,5))</f>
        <v>1</v>
      </c>
      <c r="E91" s="12">
        <f>ROUND(IF(B91 &lt; 65, Assumptions!$C$6, Assumptions!$C$7) * (1+Assumptions!$C$8) ^ (B91 - $B$13), 2)</f>
        <v>273294.46000000002</v>
      </c>
      <c r="F91" s="12">
        <f t="shared" si="7"/>
        <v>0</v>
      </c>
      <c r="G91">
        <f>G90/(1+Assumptions!$C$9)</f>
        <v>5.452634988592317E-2</v>
      </c>
      <c r="H91" s="12">
        <f t="shared" si="8"/>
        <v>0</v>
      </c>
    </row>
    <row r="92" spans="2:8" x14ac:dyDescent="0.25">
      <c r="B92">
        <f t="shared" si="9"/>
        <v>125</v>
      </c>
      <c r="C92" s="4">
        <f t="shared" si="6"/>
        <v>0</v>
      </c>
      <c r="D92" s="4">
        <f>VLOOKUP(B92,Mort!$A$2:$E$111,IF('One ret age'!$C$6="M",4,5))</f>
        <v>1</v>
      </c>
      <c r="E92" s="12">
        <f>ROUND(IF(B92 &lt; 65, Assumptions!$C$6, Assumptions!$C$7) * (1+Assumptions!$C$8) ^ (B92 - $B$13), 2)</f>
        <v>288325.65000000002</v>
      </c>
      <c r="F92" s="12">
        <f t="shared" si="7"/>
        <v>0</v>
      </c>
      <c r="G92">
        <f>G91/(1+Assumptions!$C$9)</f>
        <v>5.253020220223812E-2</v>
      </c>
      <c r="H92" s="12">
        <f t="shared" si="8"/>
        <v>0</v>
      </c>
    </row>
    <row r="93" spans="2:8" x14ac:dyDescent="0.25">
      <c r="B93">
        <f t="shared" si="9"/>
        <v>126</v>
      </c>
      <c r="C93" s="4">
        <f t="shared" si="6"/>
        <v>0</v>
      </c>
      <c r="D93" s="4">
        <f>VLOOKUP(B93,Mort!$A$2:$E$111,IF('One ret age'!$C$6="M",4,5))</f>
        <v>1</v>
      </c>
      <c r="E93" s="12">
        <f>ROUND(IF(B93 &lt; 65, Assumptions!$C$6, Assumptions!$C$7) * (1+Assumptions!$C$8) ^ (B93 - $B$13), 2)</f>
        <v>304183.56</v>
      </c>
      <c r="F93" s="12">
        <f t="shared" si="7"/>
        <v>0</v>
      </c>
      <c r="G93">
        <f>G92/(1+Assumptions!$C$9)</f>
        <v>5.0607131216029014E-2</v>
      </c>
      <c r="H93" s="12">
        <f t="shared" si="8"/>
        <v>0</v>
      </c>
    </row>
    <row r="94" spans="2:8" x14ac:dyDescent="0.25">
      <c r="B94">
        <f t="shared" si="9"/>
        <v>127</v>
      </c>
      <c r="C94" s="4">
        <f t="shared" si="6"/>
        <v>0</v>
      </c>
      <c r="D94" s="4">
        <f>VLOOKUP(B94,Mort!$A$2:$E$111,IF('One ret age'!$C$6="M",4,5))</f>
        <v>1</v>
      </c>
      <c r="E94" s="12">
        <f>ROUND(IF(B94 &lt; 65, Assumptions!$C$6, Assumptions!$C$7) * (1+Assumptions!$C$8) ^ (B94 - $B$13), 2)</f>
        <v>320913.65999999997</v>
      </c>
      <c r="F94" s="12">
        <f t="shared" si="7"/>
        <v>0</v>
      </c>
      <c r="G94">
        <f>G93/(1+Assumptions!$C$9)</f>
        <v>4.8754461672474964E-2</v>
      </c>
      <c r="H94" s="12">
        <f t="shared" si="8"/>
        <v>0</v>
      </c>
    </row>
    <row r="95" spans="2:8" x14ac:dyDescent="0.25">
      <c r="B95">
        <f t="shared" si="9"/>
        <v>128</v>
      </c>
      <c r="C95" s="4">
        <f t="shared" si="6"/>
        <v>0</v>
      </c>
      <c r="D95" s="4">
        <f>VLOOKUP(B95,Mort!$A$2:$E$111,IF('One ret age'!$C$6="M",4,5))</f>
        <v>1</v>
      </c>
      <c r="E95" s="12">
        <f>ROUND(IF(B95 &lt; 65, Assumptions!$C$6, Assumptions!$C$7) * (1+Assumptions!$C$8) ^ (B95 - $B$13), 2)</f>
        <v>338563.91</v>
      </c>
      <c r="F95" s="12">
        <f t="shared" si="7"/>
        <v>0</v>
      </c>
      <c r="G95">
        <f>G94/(1+Assumptions!$C$9)</f>
        <v>4.6969616254792831E-2</v>
      </c>
      <c r="H95" s="12">
        <f t="shared" si="8"/>
        <v>0</v>
      </c>
    </row>
    <row r="96" spans="2:8" x14ac:dyDescent="0.25">
      <c r="B96">
        <f t="shared" si="9"/>
        <v>129</v>
      </c>
      <c r="C96" s="4">
        <f t="shared" si="6"/>
        <v>0</v>
      </c>
      <c r="D96" s="4">
        <f>VLOOKUP(B96,Mort!$A$2:$E$111,IF('One ret age'!$C$6="M",4,5))</f>
        <v>1</v>
      </c>
      <c r="E96" s="12">
        <f>ROUND(IF(B96 &lt; 65, Assumptions!$C$6, Assumptions!$C$7) * (1+Assumptions!$C$8) ^ (B96 - $B$13), 2)</f>
        <v>357184.92</v>
      </c>
      <c r="F96" s="12">
        <f t="shared" si="7"/>
        <v>0</v>
      </c>
      <c r="G96">
        <f>G95/(1+Assumptions!$C$9)</f>
        <v>4.5250111998837023E-2</v>
      </c>
      <c r="H96" s="12">
        <f t="shared" si="8"/>
        <v>0</v>
      </c>
    </row>
    <row r="97" spans="2:8" x14ac:dyDescent="0.25">
      <c r="B97">
        <f t="shared" si="9"/>
        <v>130</v>
      </c>
      <c r="C97" s="4">
        <f t="shared" si="6"/>
        <v>0</v>
      </c>
      <c r="D97" s="4">
        <f>VLOOKUP(B97,Mort!$A$2:$E$111,IF('One ret age'!$C$6="M",4,5))</f>
        <v>1</v>
      </c>
      <c r="E97" s="12">
        <f>ROUND(IF(B97 &lt; 65, Assumptions!$C$6, Assumptions!$C$7) * (1+Assumptions!$C$8) ^ (B97 - $B$13), 2)</f>
        <v>376830.09</v>
      </c>
      <c r="F97" s="12">
        <f t="shared" si="7"/>
        <v>0</v>
      </c>
      <c r="G97">
        <f>G96/(1+Assumptions!$C$9)</f>
        <v>4.3593556838956667E-2</v>
      </c>
      <c r="H97" s="12">
        <f t="shared" si="8"/>
        <v>0</v>
      </c>
    </row>
    <row r="98" spans="2:8" x14ac:dyDescent="0.25">
      <c r="B98">
        <f t="shared" si="9"/>
        <v>131</v>
      </c>
      <c r="C98" s="4">
        <f t="shared" si="6"/>
        <v>0</v>
      </c>
      <c r="D98" s="4">
        <f>VLOOKUP(B98,Mort!$A$2:$E$111,IF('One ret age'!$C$6="M",4,5))</f>
        <v>1</v>
      </c>
      <c r="E98" s="12">
        <f>ROUND(IF(B98 &lt; 65, Assumptions!$C$6, Assumptions!$C$7) * (1+Assumptions!$C$8) ^ (B98 - $B$13), 2)</f>
        <v>397555.75</v>
      </c>
      <c r="F98" s="12">
        <f t="shared" si="7"/>
        <v>0</v>
      </c>
      <c r="G98">
        <f>G97/(1+Assumptions!$C$9)</f>
        <v>4.199764628030507E-2</v>
      </c>
      <c r="H98" s="12">
        <f t="shared" si="8"/>
        <v>0</v>
      </c>
    </row>
    <row r="99" spans="2:8" x14ac:dyDescent="0.25">
      <c r="B99">
        <f t="shared" si="9"/>
        <v>132</v>
      </c>
      <c r="C99" s="4">
        <f t="shared" si="6"/>
        <v>0</v>
      </c>
      <c r="D99" s="4">
        <f>VLOOKUP(B99,Mort!$A$2:$E$111,IF('One ret age'!$C$6="M",4,5))</f>
        <v>1</v>
      </c>
      <c r="E99" s="12">
        <f>ROUND(IF(B99 &lt; 65, Assumptions!$C$6, Assumptions!$C$7) * (1+Assumptions!$C$8) ^ (B99 - $B$13), 2)</f>
        <v>419421.32</v>
      </c>
      <c r="F99" s="12">
        <f t="shared" si="7"/>
        <v>0</v>
      </c>
      <c r="G99">
        <f>G98/(1+Assumptions!$C$9)</f>
        <v>4.0460160192972126E-2</v>
      </c>
      <c r="H99" s="12">
        <f t="shared" si="8"/>
        <v>0</v>
      </c>
    </row>
    <row r="100" spans="2:8" x14ac:dyDescent="0.25">
      <c r="B100">
        <f t="shared" si="9"/>
        <v>133</v>
      </c>
      <c r="C100" s="4">
        <f t="shared" si="6"/>
        <v>0</v>
      </c>
      <c r="D100" s="4">
        <f>VLOOKUP(B100,Mort!$A$2:$E$111,IF('One ret age'!$C$6="M",4,5))</f>
        <v>1</v>
      </c>
      <c r="E100" s="12">
        <f>ROUND(IF(B100 &lt; 65, Assumptions!$C$6, Assumptions!$C$7) * (1+Assumptions!$C$8) ^ (B100 - $B$13), 2)</f>
        <v>442489.49</v>
      </c>
      <c r="F100" s="12">
        <f t="shared" si="7"/>
        <v>0</v>
      </c>
      <c r="G100">
        <f>G99/(1+Assumptions!$C$9)</f>
        <v>3.8978959723479888E-2</v>
      </c>
      <c r="H100" s="12">
        <f t="shared" si="8"/>
        <v>0</v>
      </c>
    </row>
    <row r="101" spans="2:8" x14ac:dyDescent="0.25">
      <c r="B101">
        <f t="shared" si="9"/>
        <v>134</v>
      </c>
      <c r="C101" s="4">
        <f t="shared" si="6"/>
        <v>0</v>
      </c>
      <c r="D101" s="4">
        <f>VLOOKUP(B101,Mort!$A$2:$E$111,IF('One ret age'!$C$6="M",4,5))</f>
        <v>1</v>
      </c>
      <c r="E101" s="12">
        <f>ROUND(IF(B101 &lt; 65, Assumptions!$C$6, Assumptions!$C$7) * (1+Assumptions!$C$8) ^ (B101 - $B$13), 2)</f>
        <v>466826.41</v>
      </c>
      <c r="F101" s="12">
        <f t="shared" si="7"/>
        <v>0</v>
      </c>
      <c r="G101">
        <f>G100/(1+Assumptions!$C$9)</f>
        <v>3.7551984319344783E-2</v>
      </c>
      <c r="H101" s="12">
        <f t="shared" si="8"/>
        <v>0</v>
      </c>
    </row>
    <row r="102" spans="2:8" x14ac:dyDescent="0.25">
      <c r="B102">
        <f t="shared" si="9"/>
        <v>135</v>
      </c>
      <c r="C102" s="4">
        <f t="shared" si="6"/>
        <v>0</v>
      </c>
      <c r="D102" s="4">
        <f>VLOOKUP(B102,Mort!$A$2:$E$111,IF('One ret age'!$C$6="M",4,5))</f>
        <v>1</v>
      </c>
      <c r="E102" s="12">
        <f>ROUND(IF(B102 &lt; 65, Assumptions!$C$6, Assumptions!$C$7) * (1+Assumptions!$C$8) ^ (B102 - $B$13), 2)</f>
        <v>492501.86</v>
      </c>
      <c r="F102" s="12">
        <f t="shared" si="7"/>
        <v>0</v>
      </c>
      <c r="G102">
        <f>G101/(1+Assumptions!$C$9)</f>
        <v>3.6177248862567228E-2</v>
      </c>
      <c r="H102" s="12">
        <f t="shared" si="8"/>
        <v>0</v>
      </c>
    </row>
    <row r="103" spans="2:8" x14ac:dyDescent="0.25">
      <c r="B103">
        <f t="shared" si="9"/>
        <v>136</v>
      </c>
      <c r="C103" s="4">
        <f t="shared" si="6"/>
        <v>0</v>
      </c>
      <c r="D103" s="4">
        <f>VLOOKUP(B103,Mort!$A$2:$E$111,IF('One ret age'!$C$6="M",4,5))</f>
        <v>1</v>
      </c>
      <c r="E103" s="12">
        <f>ROUND(IF(B103 &lt; 65, Assumptions!$C$6, Assumptions!$C$7) * (1+Assumptions!$C$8) ^ (B103 - $B$13), 2)</f>
        <v>519589.46</v>
      </c>
      <c r="F103" s="12">
        <f t="shared" si="7"/>
        <v>0</v>
      </c>
      <c r="G103">
        <f>G102/(1+Assumptions!$C$9)</f>
        <v>3.4852840908060914E-2</v>
      </c>
      <c r="H103" s="12">
        <f t="shared" si="8"/>
        <v>0</v>
      </c>
    </row>
    <row r="104" spans="2:8" x14ac:dyDescent="0.25">
      <c r="B104">
        <f t="shared" si="9"/>
        <v>137</v>
      </c>
      <c r="C104" s="4">
        <f t="shared" si="6"/>
        <v>0</v>
      </c>
      <c r="D104" s="4">
        <f>VLOOKUP(B104,Mort!$A$2:$E$111,IF('One ret age'!$C$6="M",4,5))</f>
        <v>1</v>
      </c>
      <c r="E104" s="12">
        <f>ROUND(IF(B104 &lt; 65, Assumptions!$C$6, Assumptions!$C$7) * (1+Assumptions!$C$8) ^ (B104 - $B$13), 2)</f>
        <v>548166.88</v>
      </c>
      <c r="F104" s="12">
        <f t="shared" si="7"/>
        <v>0</v>
      </c>
      <c r="G104">
        <f>G103/(1+Assumptions!$C$9)</f>
        <v>3.3576918023180073E-2</v>
      </c>
      <c r="H104" s="12">
        <f t="shared" si="8"/>
        <v>0</v>
      </c>
    </row>
    <row r="105" spans="2:8" x14ac:dyDescent="0.25">
      <c r="B105">
        <f t="shared" si="9"/>
        <v>138</v>
      </c>
      <c r="C105" s="4">
        <f t="shared" si="6"/>
        <v>0</v>
      </c>
      <c r="D105" s="4">
        <f>VLOOKUP(B105,Mort!$A$2:$E$111,IF('One ret age'!$C$6="M",4,5))</f>
        <v>1</v>
      </c>
      <c r="E105" s="12">
        <f>ROUND(IF(B105 &lt; 65, Assumptions!$C$6, Assumptions!$C$7) * (1+Assumptions!$C$8) ^ (B105 - $B$13), 2)</f>
        <v>578316.06000000006</v>
      </c>
      <c r="F105" s="12">
        <f t="shared" si="7"/>
        <v>0</v>
      </c>
      <c r="G105">
        <f>G104/(1+Assumptions!$C$9)</f>
        <v>3.2347705224643614E-2</v>
      </c>
      <c r="H105" s="12">
        <f t="shared" si="8"/>
        <v>0</v>
      </c>
    </row>
    <row r="106" spans="2:8" x14ac:dyDescent="0.25">
      <c r="B106">
        <f t="shared" si="9"/>
        <v>139</v>
      </c>
      <c r="C106" s="4">
        <f t="shared" si="6"/>
        <v>0</v>
      </c>
      <c r="D106" s="4">
        <f>VLOOKUP(B106,Mort!$A$2:$E$111,IF('One ret age'!$C$6="M",4,5))</f>
        <v>1</v>
      </c>
      <c r="E106" s="12">
        <f>ROUND(IF(B106 &lt; 65, Assumptions!$C$6, Assumptions!$C$7) * (1+Assumptions!$C$8) ^ (B106 - $B$13), 2)</f>
        <v>610123.44999999995</v>
      </c>
      <c r="F106" s="12">
        <f t="shared" si="7"/>
        <v>0</v>
      </c>
      <c r="G106">
        <f>G105/(1+Assumptions!$C$9)</f>
        <v>3.1163492509290572E-2</v>
      </c>
      <c r="H106" s="12">
        <f t="shared" si="8"/>
        <v>0</v>
      </c>
    </row>
    <row r="107" spans="2:8" x14ac:dyDescent="0.25">
      <c r="B107">
        <f t="shared" si="9"/>
        <v>140</v>
      </c>
      <c r="C107" s="4">
        <f t="shared" si="6"/>
        <v>0</v>
      </c>
      <c r="D107" s="4">
        <f>VLOOKUP(B107,Mort!$A$2:$E$111,IF('One ret age'!$C$6="M",4,5))</f>
        <v>1</v>
      </c>
      <c r="E107" s="12">
        <f>ROUND(IF(B107 &lt; 65, Assumptions!$C$6, Assumptions!$C$7) * (1+Assumptions!$C$8) ^ (B107 - $B$13), 2)</f>
        <v>643680.24</v>
      </c>
      <c r="F107" s="12">
        <f t="shared" si="7"/>
        <v>0</v>
      </c>
      <c r="G107">
        <f>G106/(1+Assumptions!$C$9)</f>
        <v>3.0022632475231764E-2</v>
      </c>
      <c r="H107" s="12">
        <f t="shared" si="8"/>
        <v>0</v>
      </c>
    </row>
    <row r="108" spans="2:8" x14ac:dyDescent="0.25">
      <c r="B108">
        <f t="shared" si="9"/>
        <v>141</v>
      </c>
      <c r="C108" s="4">
        <f t="shared" si="6"/>
        <v>0</v>
      </c>
      <c r="D108" s="4">
        <f>VLOOKUP(B108,Mort!$A$2:$E$111,IF('One ret age'!$C$6="M",4,5))</f>
        <v>1</v>
      </c>
      <c r="E108" s="12">
        <f>ROUND(IF(B108 &lt; 65, Assumptions!$C$6, Assumptions!$C$7) * (1+Assumptions!$C$8) ^ (B108 - $B$13), 2)</f>
        <v>679082.65</v>
      </c>
      <c r="F108" s="12">
        <f t="shared" si="7"/>
        <v>0</v>
      </c>
      <c r="G108">
        <f>G107/(1+Assumptions!$C$9)</f>
        <v>2.8923538030088403E-2</v>
      </c>
      <c r="H108" s="12">
        <f t="shared" si="8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31DE-6CAF-4B59-8836-E5B73F2944C2}">
  <sheetPr codeName="Sheet6"/>
  <dimension ref="A1:AZ2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50</v>
      </c>
      <c r="B2">
        <v>0</v>
      </c>
      <c r="C2">
        <v>0</v>
      </c>
      <c r="D2">
        <v>0</v>
      </c>
      <c r="E2">
        <v>0</v>
      </c>
      <c r="F2">
        <v>0</v>
      </c>
      <c r="G2">
        <v>0.01</v>
      </c>
      <c r="H2">
        <v>1.0999999999999999E-2</v>
      </c>
      <c r="I2">
        <v>1.0999999999999999E-2</v>
      </c>
      <c r="J2">
        <v>1.2E-2</v>
      </c>
      <c r="K2">
        <v>1.2999999999999999E-2</v>
      </c>
      <c r="L2">
        <v>1.2999999999999999E-2</v>
      </c>
      <c r="M2">
        <v>1.2999999999999999E-2</v>
      </c>
      <c r="N2">
        <v>1.4E-2</v>
      </c>
      <c r="O2">
        <v>1.4E-2</v>
      </c>
      <c r="P2">
        <v>1.4999999999999999E-2</v>
      </c>
      <c r="Q2">
        <v>1.4999999999999999E-2</v>
      </c>
      <c r="R2">
        <v>1.6E-2</v>
      </c>
      <c r="S2">
        <v>1.6E-2</v>
      </c>
      <c r="T2">
        <v>1.7000000000000001E-2</v>
      </c>
      <c r="U2">
        <v>1.7000000000000001E-2</v>
      </c>
      <c r="V2">
        <v>1.7999999999999999E-2</v>
      </c>
      <c r="W2">
        <v>1.7999999999999999E-2</v>
      </c>
      <c r="X2">
        <v>1.7999999999999999E-2</v>
      </c>
      <c r="Y2">
        <v>1.7999999999999999E-2</v>
      </c>
      <c r="Z2">
        <v>1.9E-2</v>
      </c>
      <c r="AA2">
        <v>1.9E-2</v>
      </c>
      <c r="AB2">
        <v>1.9E-2</v>
      </c>
      <c r="AC2">
        <v>0.02</v>
      </c>
      <c r="AD2">
        <v>0.02</v>
      </c>
      <c r="AE2">
        <v>2.1000000000000001E-2</v>
      </c>
      <c r="AF2">
        <v>2.1000000000000001E-2</v>
      </c>
      <c r="AG2">
        <v>2.1000000000000001E-2</v>
      </c>
      <c r="AH2">
        <v>2.1999999999999999E-2</v>
      </c>
      <c r="AI2">
        <v>2.3E-2</v>
      </c>
      <c r="AJ2">
        <v>2.3E-2</v>
      </c>
      <c r="AK2">
        <v>2.3E-2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51</v>
      </c>
      <c r="B3">
        <v>0</v>
      </c>
      <c r="C3">
        <v>0</v>
      </c>
      <c r="D3">
        <v>0</v>
      </c>
      <c r="E3">
        <v>0</v>
      </c>
      <c r="F3">
        <v>0</v>
      </c>
      <c r="G3">
        <v>8.9999999999999993E-3</v>
      </c>
      <c r="H3">
        <v>0.01</v>
      </c>
      <c r="I3">
        <v>1.0999999999999999E-2</v>
      </c>
      <c r="J3">
        <v>1.0999999999999999E-2</v>
      </c>
      <c r="K3">
        <v>1.0999999999999999E-2</v>
      </c>
      <c r="L3">
        <v>1.0999999999999999E-2</v>
      </c>
      <c r="M3">
        <v>1.2E-2</v>
      </c>
      <c r="N3">
        <v>1.2999999999999999E-2</v>
      </c>
      <c r="O3">
        <v>1.2999999999999999E-2</v>
      </c>
      <c r="P3">
        <v>1.4E-2</v>
      </c>
      <c r="Q3">
        <v>1.4E-2</v>
      </c>
      <c r="R3">
        <v>1.4E-2</v>
      </c>
      <c r="S3">
        <v>1.4999999999999999E-2</v>
      </c>
      <c r="T3">
        <v>1.4999999999999999E-2</v>
      </c>
      <c r="U3">
        <v>1.6E-2</v>
      </c>
      <c r="V3">
        <v>1.6E-2</v>
      </c>
      <c r="W3">
        <v>1.7000000000000001E-2</v>
      </c>
      <c r="X3">
        <v>1.7000000000000001E-2</v>
      </c>
      <c r="Y3">
        <v>1.7000000000000001E-2</v>
      </c>
      <c r="Z3">
        <v>1.7000000000000001E-2</v>
      </c>
      <c r="AA3">
        <v>1.7000000000000001E-2</v>
      </c>
      <c r="AB3">
        <v>1.7999999999999999E-2</v>
      </c>
      <c r="AC3">
        <v>1.7999999999999999E-2</v>
      </c>
      <c r="AD3">
        <v>1.7999999999999999E-2</v>
      </c>
      <c r="AE3">
        <v>1.9E-2</v>
      </c>
      <c r="AF3">
        <v>1.9E-2</v>
      </c>
      <c r="AG3">
        <v>1.9E-2</v>
      </c>
      <c r="AH3">
        <v>0.02</v>
      </c>
      <c r="AI3">
        <v>0.02</v>
      </c>
      <c r="AJ3">
        <v>2.1000000000000001E-2</v>
      </c>
      <c r="AK3">
        <v>2.1000000000000001E-2</v>
      </c>
      <c r="AL3">
        <v>2.1000000000000001E-2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52</v>
      </c>
      <c r="B4">
        <v>0</v>
      </c>
      <c r="C4">
        <v>0</v>
      </c>
      <c r="D4">
        <v>0</v>
      </c>
      <c r="E4">
        <v>0</v>
      </c>
      <c r="F4">
        <v>0</v>
      </c>
      <c r="G4">
        <v>1.0999999999999999E-2</v>
      </c>
      <c r="H4">
        <v>1.2E-2</v>
      </c>
      <c r="I4">
        <v>1.2999999999999999E-2</v>
      </c>
      <c r="J4">
        <v>1.4E-2</v>
      </c>
      <c r="K4">
        <v>1.4E-2</v>
      </c>
      <c r="L4">
        <v>1.4E-2</v>
      </c>
      <c r="M4">
        <v>1.4999999999999999E-2</v>
      </c>
      <c r="N4">
        <v>1.6E-2</v>
      </c>
      <c r="O4">
        <v>1.7000000000000001E-2</v>
      </c>
      <c r="P4">
        <v>1.7000000000000001E-2</v>
      </c>
      <c r="Q4">
        <v>1.7000000000000001E-2</v>
      </c>
      <c r="R4">
        <v>1.7999999999999999E-2</v>
      </c>
      <c r="S4">
        <v>1.7999999999999999E-2</v>
      </c>
      <c r="T4">
        <v>1.9E-2</v>
      </c>
      <c r="U4">
        <v>1.9E-2</v>
      </c>
      <c r="V4">
        <v>0.02</v>
      </c>
      <c r="W4">
        <v>0.02</v>
      </c>
      <c r="X4">
        <v>2.1000000000000001E-2</v>
      </c>
      <c r="Y4">
        <v>2.1000000000000001E-2</v>
      </c>
      <c r="Z4">
        <v>2.1000000000000001E-2</v>
      </c>
      <c r="AA4">
        <v>2.1999999999999999E-2</v>
      </c>
      <c r="AB4">
        <v>2.1999999999999999E-2</v>
      </c>
      <c r="AC4">
        <v>2.3E-2</v>
      </c>
      <c r="AD4">
        <v>2.4E-2</v>
      </c>
      <c r="AE4">
        <v>2.4E-2</v>
      </c>
      <c r="AF4">
        <v>2.4E-2</v>
      </c>
      <c r="AG4">
        <v>2.4E-2</v>
      </c>
      <c r="AH4">
        <v>2.5000000000000001E-2</v>
      </c>
      <c r="AI4">
        <v>2.5000000000000001E-2</v>
      </c>
      <c r="AJ4">
        <v>2.5999999999999999E-2</v>
      </c>
      <c r="AK4">
        <v>2.5999999999999999E-2</v>
      </c>
      <c r="AL4">
        <v>2.7E-2</v>
      </c>
      <c r="AM4">
        <v>2.7E-2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53</v>
      </c>
      <c r="B5">
        <v>0</v>
      </c>
      <c r="C5">
        <v>0</v>
      </c>
      <c r="D5">
        <v>0</v>
      </c>
      <c r="E5">
        <v>0</v>
      </c>
      <c r="F5">
        <v>0</v>
      </c>
      <c r="G5">
        <v>0.01</v>
      </c>
      <c r="H5">
        <v>0.01</v>
      </c>
      <c r="I5">
        <v>1.0999999999999999E-2</v>
      </c>
      <c r="J5">
        <v>1.2E-2</v>
      </c>
      <c r="K5">
        <v>1.2999999999999999E-2</v>
      </c>
      <c r="L5">
        <v>1.2E-2</v>
      </c>
      <c r="M5">
        <v>1.2999999999999999E-2</v>
      </c>
      <c r="N5">
        <v>1.4E-2</v>
      </c>
      <c r="O5">
        <v>1.4999999999999999E-2</v>
      </c>
      <c r="P5">
        <v>1.4999999999999999E-2</v>
      </c>
      <c r="Q5">
        <v>1.4999999999999999E-2</v>
      </c>
      <c r="R5">
        <v>1.6E-2</v>
      </c>
      <c r="S5">
        <v>1.6E-2</v>
      </c>
      <c r="T5">
        <v>1.6E-2</v>
      </c>
      <c r="U5">
        <v>1.6E-2</v>
      </c>
      <c r="V5">
        <v>1.7000000000000001E-2</v>
      </c>
      <c r="W5">
        <v>1.7999999999999999E-2</v>
      </c>
      <c r="X5">
        <v>1.7999999999999999E-2</v>
      </c>
      <c r="Y5">
        <v>1.9E-2</v>
      </c>
      <c r="Z5">
        <v>1.9E-2</v>
      </c>
      <c r="AA5">
        <v>0.02</v>
      </c>
      <c r="AB5">
        <v>0.02</v>
      </c>
      <c r="AC5">
        <v>0.02</v>
      </c>
      <c r="AD5">
        <v>0.02</v>
      </c>
      <c r="AE5">
        <v>2.1000000000000001E-2</v>
      </c>
      <c r="AF5">
        <v>2.1000000000000001E-2</v>
      </c>
      <c r="AG5">
        <v>2.1000000000000001E-2</v>
      </c>
      <c r="AH5">
        <v>2.1999999999999999E-2</v>
      </c>
      <c r="AI5">
        <v>2.1999999999999999E-2</v>
      </c>
      <c r="AJ5">
        <v>2.1999999999999999E-2</v>
      </c>
      <c r="AK5">
        <v>2.1999999999999999E-2</v>
      </c>
      <c r="AL5">
        <v>2.3E-2</v>
      </c>
      <c r="AM5">
        <v>2.3E-2</v>
      </c>
      <c r="AN5">
        <v>2.3E-2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54</v>
      </c>
      <c r="B6">
        <v>0</v>
      </c>
      <c r="C6">
        <v>0</v>
      </c>
      <c r="D6">
        <v>0</v>
      </c>
      <c r="E6">
        <v>0</v>
      </c>
      <c r="F6">
        <v>0</v>
      </c>
      <c r="G6">
        <v>1.4999999999999999E-2</v>
      </c>
      <c r="H6">
        <v>1.4999999999999999E-2</v>
      </c>
      <c r="I6">
        <v>1.6E-2</v>
      </c>
      <c r="J6">
        <v>1.7000000000000001E-2</v>
      </c>
      <c r="K6">
        <v>1.9E-2</v>
      </c>
      <c r="L6">
        <v>1.9E-2</v>
      </c>
      <c r="M6">
        <v>0.02</v>
      </c>
      <c r="N6">
        <v>2.1000000000000001E-2</v>
      </c>
      <c r="O6">
        <v>2.1999999999999999E-2</v>
      </c>
      <c r="P6">
        <v>2.3E-2</v>
      </c>
      <c r="Q6">
        <v>2.3E-2</v>
      </c>
      <c r="R6">
        <v>2.3E-2</v>
      </c>
      <c r="S6">
        <v>2.3E-2</v>
      </c>
      <c r="T6">
        <v>2.4E-2</v>
      </c>
      <c r="U6">
        <v>2.5000000000000001E-2</v>
      </c>
      <c r="V6">
        <v>2.5000000000000001E-2</v>
      </c>
      <c r="W6">
        <v>2.5999999999999999E-2</v>
      </c>
      <c r="X6">
        <v>2.7E-2</v>
      </c>
      <c r="Y6">
        <v>2.8000000000000001E-2</v>
      </c>
      <c r="Z6">
        <v>2.8000000000000001E-2</v>
      </c>
      <c r="AA6">
        <v>2.9000000000000001E-2</v>
      </c>
      <c r="AB6">
        <v>2.9000000000000001E-2</v>
      </c>
      <c r="AC6">
        <v>0.03</v>
      </c>
      <c r="AD6">
        <v>3.1E-2</v>
      </c>
      <c r="AE6">
        <v>3.2000000000000001E-2</v>
      </c>
      <c r="AF6">
        <v>3.1E-2</v>
      </c>
      <c r="AG6">
        <v>3.2000000000000001E-2</v>
      </c>
      <c r="AH6">
        <v>3.3000000000000002E-2</v>
      </c>
      <c r="AI6">
        <v>3.3000000000000002E-2</v>
      </c>
      <c r="AJ6">
        <v>3.4000000000000002E-2</v>
      </c>
      <c r="AK6">
        <v>3.4000000000000002E-2</v>
      </c>
      <c r="AL6">
        <v>3.5000000000000003E-2</v>
      </c>
      <c r="AM6">
        <v>3.5000000000000003E-2</v>
      </c>
      <c r="AN6">
        <v>3.5000000000000003E-2</v>
      </c>
      <c r="AO6">
        <v>3.5000000000000003E-2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55</v>
      </c>
      <c r="B7">
        <v>0</v>
      </c>
      <c r="C7">
        <v>0</v>
      </c>
      <c r="D7">
        <v>0</v>
      </c>
      <c r="E7">
        <v>0</v>
      </c>
      <c r="F7">
        <v>0</v>
      </c>
      <c r="G7">
        <v>2.1999999999999999E-2</v>
      </c>
      <c r="H7">
        <v>2.4E-2</v>
      </c>
      <c r="I7">
        <v>2.5999999999999999E-2</v>
      </c>
      <c r="J7">
        <v>2.5999999999999999E-2</v>
      </c>
      <c r="K7">
        <v>2.8000000000000001E-2</v>
      </c>
      <c r="L7">
        <v>2.9000000000000001E-2</v>
      </c>
      <c r="M7">
        <v>3.1E-2</v>
      </c>
      <c r="N7">
        <v>3.3000000000000002E-2</v>
      </c>
      <c r="O7">
        <v>3.4000000000000002E-2</v>
      </c>
      <c r="P7">
        <v>3.5000000000000003E-2</v>
      </c>
      <c r="Q7">
        <v>3.5000000000000003E-2</v>
      </c>
      <c r="R7">
        <v>3.5999999999999997E-2</v>
      </c>
      <c r="S7">
        <v>3.6999999999999998E-2</v>
      </c>
      <c r="T7">
        <v>3.7999999999999999E-2</v>
      </c>
      <c r="U7">
        <v>3.9E-2</v>
      </c>
      <c r="V7">
        <v>0.04</v>
      </c>
      <c r="W7">
        <v>4.1000000000000002E-2</v>
      </c>
      <c r="X7">
        <v>4.2000000000000003E-2</v>
      </c>
      <c r="Y7">
        <v>4.2999999999999997E-2</v>
      </c>
      <c r="Z7">
        <v>4.3999999999999997E-2</v>
      </c>
      <c r="AA7">
        <v>4.4999999999999998E-2</v>
      </c>
      <c r="AB7">
        <v>4.5999999999999999E-2</v>
      </c>
      <c r="AC7">
        <v>4.5999999999999999E-2</v>
      </c>
      <c r="AD7">
        <v>4.7E-2</v>
      </c>
      <c r="AE7">
        <v>4.9000000000000002E-2</v>
      </c>
      <c r="AF7">
        <v>4.9000000000000002E-2</v>
      </c>
      <c r="AG7">
        <v>5.0999999999999997E-2</v>
      </c>
      <c r="AH7">
        <v>5.1999999999999998E-2</v>
      </c>
      <c r="AI7">
        <v>5.2999999999999999E-2</v>
      </c>
      <c r="AJ7">
        <v>5.3999999999999999E-2</v>
      </c>
      <c r="AK7">
        <v>5.3999999999999999E-2</v>
      </c>
      <c r="AL7">
        <v>5.5E-2</v>
      </c>
      <c r="AM7">
        <v>5.5E-2</v>
      </c>
      <c r="AN7">
        <v>5.5E-2</v>
      </c>
      <c r="AO7">
        <v>5.5E-2</v>
      </c>
      <c r="AP7">
        <v>5.5E-2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56</v>
      </c>
      <c r="B8">
        <v>0</v>
      </c>
      <c r="C8">
        <v>0</v>
      </c>
      <c r="D8">
        <v>0</v>
      </c>
      <c r="E8">
        <v>0</v>
      </c>
      <c r="F8">
        <v>0</v>
      </c>
      <c r="G8">
        <v>1.7999999999999999E-2</v>
      </c>
      <c r="H8">
        <v>1.9E-2</v>
      </c>
      <c r="I8">
        <v>2.1000000000000001E-2</v>
      </c>
      <c r="J8">
        <v>2.1999999999999999E-2</v>
      </c>
      <c r="K8">
        <v>2.3E-2</v>
      </c>
      <c r="L8">
        <v>2.4E-2</v>
      </c>
      <c r="M8">
        <v>2.5000000000000001E-2</v>
      </c>
      <c r="N8">
        <v>2.7E-2</v>
      </c>
      <c r="O8">
        <v>2.8000000000000001E-2</v>
      </c>
      <c r="P8">
        <v>2.8000000000000001E-2</v>
      </c>
      <c r="Q8">
        <v>2.8000000000000001E-2</v>
      </c>
      <c r="R8">
        <v>2.9000000000000001E-2</v>
      </c>
      <c r="S8">
        <v>0.03</v>
      </c>
      <c r="T8">
        <v>3.1E-2</v>
      </c>
      <c r="U8">
        <v>3.2000000000000001E-2</v>
      </c>
      <c r="V8">
        <v>3.3000000000000002E-2</v>
      </c>
      <c r="W8">
        <v>3.3000000000000002E-2</v>
      </c>
      <c r="X8">
        <v>3.4000000000000002E-2</v>
      </c>
      <c r="Y8">
        <v>3.5000000000000003E-2</v>
      </c>
      <c r="Z8">
        <v>3.5999999999999997E-2</v>
      </c>
      <c r="AA8">
        <v>3.5999999999999997E-2</v>
      </c>
      <c r="AB8">
        <v>3.6999999999999998E-2</v>
      </c>
      <c r="AC8">
        <v>3.6999999999999998E-2</v>
      </c>
      <c r="AD8">
        <v>3.7999999999999999E-2</v>
      </c>
      <c r="AE8">
        <v>0.04</v>
      </c>
      <c r="AF8">
        <v>0.04</v>
      </c>
      <c r="AG8">
        <v>4.1000000000000002E-2</v>
      </c>
      <c r="AH8">
        <v>4.2000000000000003E-2</v>
      </c>
      <c r="AI8">
        <v>4.2999999999999997E-2</v>
      </c>
      <c r="AJ8">
        <v>4.3999999999999997E-2</v>
      </c>
      <c r="AK8">
        <v>4.3999999999999997E-2</v>
      </c>
      <c r="AL8">
        <v>4.3999999999999997E-2</v>
      </c>
      <c r="AM8">
        <v>4.3999999999999997E-2</v>
      </c>
      <c r="AN8">
        <v>4.4999999999999998E-2</v>
      </c>
      <c r="AO8">
        <v>4.4999999999999998E-2</v>
      </c>
      <c r="AP8">
        <v>4.4999999999999998E-2</v>
      </c>
      <c r="AQ8">
        <v>4.4999999999999998E-2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57</v>
      </c>
      <c r="B9">
        <v>0</v>
      </c>
      <c r="C9">
        <v>0</v>
      </c>
      <c r="D9">
        <v>0</v>
      </c>
      <c r="E9">
        <v>0</v>
      </c>
      <c r="F9">
        <v>0</v>
      </c>
      <c r="G9">
        <v>2.4E-2</v>
      </c>
      <c r="H9">
        <v>2.5000000000000001E-2</v>
      </c>
      <c r="I9">
        <v>2.7E-2</v>
      </c>
      <c r="J9">
        <v>2.9000000000000001E-2</v>
      </c>
      <c r="K9">
        <v>3.1E-2</v>
      </c>
      <c r="L9">
        <v>3.2000000000000001E-2</v>
      </c>
      <c r="M9">
        <v>3.3000000000000002E-2</v>
      </c>
      <c r="N9">
        <v>3.5000000000000003E-2</v>
      </c>
      <c r="O9">
        <v>3.6999999999999998E-2</v>
      </c>
      <c r="P9">
        <v>3.7999999999999999E-2</v>
      </c>
      <c r="Q9">
        <v>3.7999999999999999E-2</v>
      </c>
      <c r="R9">
        <v>0.04</v>
      </c>
      <c r="S9">
        <v>4.1000000000000002E-2</v>
      </c>
      <c r="T9">
        <v>4.1000000000000002E-2</v>
      </c>
      <c r="U9">
        <v>4.2000000000000003E-2</v>
      </c>
      <c r="V9">
        <v>4.2999999999999997E-2</v>
      </c>
      <c r="W9">
        <v>4.3999999999999997E-2</v>
      </c>
      <c r="X9">
        <v>4.5999999999999999E-2</v>
      </c>
      <c r="Y9">
        <v>4.7E-2</v>
      </c>
      <c r="Z9">
        <v>4.8000000000000001E-2</v>
      </c>
      <c r="AA9">
        <v>4.9000000000000002E-2</v>
      </c>
      <c r="AB9">
        <v>0.05</v>
      </c>
      <c r="AC9">
        <v>0.05</v>
      </c>
      <c r="AD9">
        <v>5.0999999999999997E-2</v>
      </c>
      <c r="AE9">
        <v>5.2999999999999999E-2</v>
      </c>
      <c r="AF9">
        <v>5.2999999999999999E-2</v>
      </c>
      <c r="AG9">
        <v>5.5E-2</v>
      </c>
      <c r="AH9">
        <v>5.6000000000000001E-2</v>
      </c>
      <c r="AI9">
        <v>5.7000000000000002E-2</v>
      </c>
      <c r="AJ9">
        <v>5.8000000000000003E-2</v>
      </c>
      <c r="AK9">
        <v>5.8000000000000003E-2</v>
      </c>
      <c r="AL9">
        <v>5.8999999999999997E-2</v>
      </c>
      <c r="AM9">
        <v>5.8999999999999997E-2</v>
      </c>
      <c r="AN9">
        <v>0.06</v>
      </c>
      <c r="AO9">
        <v>0.06</v>
      </c>
      <c r="AP9">
        <v>0.06</v>
      </c>
      <c r="AQ9">
        <v>0.06</v>
      </c>
      <c r="AR9">
        <v>0.06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58</v>
      </c>
      <c r="B10">
        <v>0</v>
      </c>
      <c r="C10">
        <v>0</v>
      </c>
      <c r="D10">
        <v>0</v>
      </c>
      <c r="E10">
        <v>0</v>
      </c>
      <c r="F10">
        <v>0</v>
      </c>
      <c r="G10">
        <v>2.7E-2</v>
      </c>
      <c r="H10">
        <v>2.9000000000000001E-2</v>
      </c>
      <c r="I10">
        <v>3.1E-2</v>
      </c>
      <c r="J10">
        <v>3.2000000000000001E-2</v>
      </c>
      <c r="K10">
        <v>3.5000000000000003E-2</v>
      </c>
      <c r="L10">
        <v>3.5999999999999997E-2</v>
      </c>
      <c r="M10">
        <v>3.7999999999999999E-2</v>
      </c>
      <c r="N10">
        <v>0.04</v>
      </c>
      <c r="O10">
        <v>4.2000000000000003E-2</v>
      </c>
      <c r="P10">
        <v>4.2999999999999997E-2</v>
      </c>
      <c r="Q10">
        <v>4.2999999999999997E-2</v>
      </c>
      <c r="R10">
        <v>4.4999999999999998E-2</v>
      </c>
      <c r="S10">
        <v>4.5999999999999999E-2</v>
      </c>
      <c r="T10">
        <v>4.7E-2</v>
      </c>
      <c r="U10">
        <v>4.8000000000000001E-2</v>
      </c>
      <c r="V10">
        <v>4.9000000000000002E-2</v>
      </c>
      <c r="W10">
        <v>5.0999999999999997E-2</v>
      </c>
      <c r="X10">
        <v>5.1999999999999998E-2</v>
      </c>
      <c r="Y10">
        <v>5.2999999999999999E-2</v>
      </c>
      <c r="Z10">
        <v>5.3999999999999999E-2</v>
      </c>
      <c r="AA10">
        <v>5.5E-2</v>
      </c>
      <c r="AB10">
        <v>5.6000000000000001E-2</v>
      </c>
      <c r="AC10">
        <v>5.7000000000000002E-2</v>
      </c>
      <c r="AD10">
        <v>5.8999999999999997E-2</v>
      </c>
      <c r="AE10">
        <v>0.06</v>
      </c>
      <c r="AF10">
        <v>6.0999999999999999E-2</v>
      </c>
      <c r="AG10">
        <v>6.3E-2</v>
      </c>
      <c r="AH10">
        <v>6.4000000000000001E-2</v>
      </c>
      <c r="AI10">
        <v>6.5000000000000002E-2</v>
      </c>
      <c r="AJ10">
        <v>6.6000000000000003E-2</v>
      </c>
      <c r="AK10">
        <v>6.7000000000000004E-2</v>
      </c>
      <c r="AL10">
        <v>6.8000000000000005E-2</v>
      </c>
      <c r="AM10">
        <v>6.9000000000000006E-2</v>
      </c>
      <c r="AN10">
        <v>6.9000000000000006E-2</v>
      </c>
      <c r="AO10">
        <v>6.9000000000000006E-2</v>
      </c>
      <c r="AP10">
        <v>6.9000000000000006E-2</v>
      </c>
      <c r="AQ10">
        <v>6.9000000000000006E-2</v>
      </c>
      <c r="AR10">
        <v>6.9000000000000006E-2</v>
      </c>
      <c r="AS10">
        <v>6.9000000000000006E-2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59</v>
      </c>
      <c r="B11">
        <v>0</v>
      </c>
      <c r="C11">
        <v>0</v>
      </c>
      <c r="D11">
        <v>0</v>
      </c>
      <c r="E11">
        <v>0</v>
      </c>
      <c r="F11">
        <v>0</v>
      </c>
      <c r="G11">
        <v>3.3000000000000002E-2</v>
      </c>
      <c r="H11">
        <v>3.5000000000000003E-2</v>
      </c>
      <c r="I11">
        <v>3.7999999999999999E-2</v>
      </c>
      <c r="J11">
        <v>4.1000000000000002E-2</v>
      </c>
      <c r="K11">
        <v>4.2999999999999997E-2</v>
      </c>
      <c r="L11">
        <v>4.3999999999999997E-2</v>
      </c>
      <c r="M11">
        <v>4.7E-2</v>
      </c>
      <c r="N11">
        <v>0.05</v>
      </c>
      <c r="O11">
        <v>5.0999999999999997E-2</v>
      </c>
      <c r="P11">
        <v>5.2999999999999999E-2</v>
      </c>
      <c r="Q11">
        <v>5.3999999999999999E-2</v>
      </c>
      <c r="R11">
        <v>5.5E-2</v>
      </c>
      <c r="S11">
        <v>5.7000000000000002E-2</v>
      </c>
      <c r="T11">
        <v>5.8000000000000003E-2</v>
      </c>
      <c r="U11">
        <v>5.8999999999999997E-2</v>
      </c>
      <c r="V11">
        <v>6.0999999999999999E-2</v>
      </c>
      <c r="W11">
        <v>6.3E-2</v>
      </c>
      <c r="X11">
        <v>6.4000000000000001E-2</v>
      </c>
      <c r="Y11">
        <v>6.6000000000000003E-2</v>
      </c>
      <c r="Z11">
        <v>6.7000000000000004E-2</v>
      </c>
      <c r="AA11">
        <v>6.8000000000000005E-2</v>
      </c>
      <c r="AB11">
        <v>6.9000000000000006E-2</v>
      </c>
      <c r="AC11">
        <v>7.0999999999999994E-2</v>
      </c>
      <c r="AD11">
        <v>7.1999999999999995E-2</v>
      </c>
      <c r="AE11">
        <v>7.4999999999999997E-2</v>
      </c>
      <c r="AF11">
        <v>7.5999999999999998E-2</v>
      </c>
      <c r="AG11">
        <v>7.6999999999999999E-2</v>
      </c>
      <c r="AH11">
        <v>7.9000000000000001E-2</v>
      </c>
      <c r="AI11">
        <v>8.1000000000000003E-2</v>
      </c>
      <c r="AJ11">
        <v>8.2000000000000003E-2</v>
      </c>
      <c r="AK11">
        <v>8.3000000000000004E-2</v>
      </c>
      <c r="AL11">
        <v>8.4000000000000005E-2</v>
      </c>
      <c r="AM11">
        <v>8.5000000000000006E-2</v>
      </c>
      <c r="AN11">
        <v>8.5000000000000006E-2</v>
      </c>
      <c r="AO11">
        <v>8.5000000000000006E-2</v>
      </c>
      <c r="AP11">
        <v>8.5000000000000006E-2</v>
      </c>
      <c r="AQ11">
        <v>8.5000000000000006E-2</v>
      </c>
      <c r="AR11">
        <v>8.5000000000000006E-2</v>
      </c>
      <c r="AS11">
        <v>8.5000000000000006E-2</v>
      </c>
      <c r="AT11">
        <v>8.5000000000000006E-2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60</v>
      </c>
      <c r="B12">
        <v>0</v>
      </c>
      <c r="C12">
        <v>0</v>
      </c>
      <c r="D12">
        <v>0</v>
      </c>
      <c r="E12">
        <v>0</v>
      </c>
      <c r="F12">
        <v>0</v>
      </c>
      <c r="G12">
        <v>5.6000000000000001E-2</v>
      </c>
      <c r="H12">
        <v>0.06</v>
      </c>
      <c r="I12">
        <v>6.4000000000000001E-2</v>
      </c>
      <c r="J12">
        <v>6.9000000000000006E-2</v>
      </c>
      <c r="K12">
        <v>7.2999999999999995E-2</v>
      </c>
      <c r="L12">
        <v>7.6999999999999999E-2</v>
      </c>
      <c r="M12">
        <v>8.1000000000000003E-2</v>
      </c>
      <c r="N12">
        <v>8.4000000000000005E-2</v>
      </c>
      <c r="O12">
        <v>8.7999999999999995E-2</v>
      </c>
      <c r="P12">
        <v>9.0999999999999998E-2</v>
      </c>
      <c r="Q12">
        <v>9.1999999999999998E-2</v>
      </c>
      <c r="R12">
        <v>9.5000000000000001E-2</v>
      </c>
      <c r="S12">
        <v>9.7000000000000003E-2</v>
      </c>
      <c r="T12">
        <v>9.9000000000000005E-2</v>
      </c>
      <c r="U12">
        <v>0.10199999999999999</v>
      </c>
      <c r="V12">
        <v>0.105</v>
      </c>
      <c r="W12">
        <v>0.107</v>
      </c>
      <c r="X12">
        <v>0.11</v>
      </c>
      <c r="Y12">
        <v>0.113</v>
      </c>
      <c r="Z12">
        <v>0.114</v>
      </c>
      <c r="AA12">
        <v>0.11700000000000001</v>
      </c>
      <c r="AB12">
        <v>0.11899999999999999</v>
      </c>
      <c r="AC12">
        <v>0.121</v>
      </c>
      <c r="AD12">
        <v>0.124</v>
      </c>
      <c r="AE12">
        <v>0.128</v>
      </c>
      <c r="AF12">
        <v>0.13</v>
      </c>
      <c r="AG12">
        <v>0.13300000000000001</v>
      </c>
      <c r="AH12">
        <v>0.13600000000000001</v>
      </c>
      <c r="AI12">
        <v>0.13900000000000001</v>
      </c>
      <c r="AJ12">
        <v>0.14099999999999999</v>
      </c>
      <c r="AK12">
        <v>0.14199999999999999</v>
      </c>
      <c r="AL12">
        <v>0.14399999999999999</v>
      </c>
      <c r="AM12">
        <v>0.14599999999999999</v>
      </c>
      <c r="AN12">
        <v>0.14699999999999999</v>
      </c>
      <c r="AO12">
        <v>0.14699999999999999</v>
      </c>
      <c r="AP12">
        <v>0.14699999999999999</v>
      </c>
      <c r="AQ12">
        <v>0.14699999999999999</v>
      </c>
      <c r="AR12">
        <v>0.14699999999999999</v>
      </c>
      <c r="AS12">
        <v>0.14699999999999999</v>
      </c>
      <c r="AT12">
        <v>0.14699999999999999</v>
      </c>
      <c r="AU12">
        <v>0.14699999999999999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61</v>
      </c>
      <c r="B13">
        <v>0</v>
      </c>
      <c r="C13">
        <v>0</v>
      </c>
      <c r="D13">
        <v>0</v>
      </c>
      <c r="E13">
        <v>0</v>
      </c>
      <c r="F13">
        <v>0</v>
      </c>
      <c r="G13">
        <v>7.0999999999999994E-2</v>
      </c>
      <c r="H13">
        <v>7.5999999999999998E-2</v>
      </c>
      <c r="I13">
        <v>8.1000000000000003E-2</v>
      </c>
      <c r="J13">
        <v>8.6999999999999994E-2</v>
      </c>
      <c r="K13">
        <v>9.2999999999999999E-2</v>
      </c>
      <c r="L13">
        <v>9.7000000000000003E-2</v>
      </c>
      <c r="M13">
        <v>0.10299999999999999</v>
      </c>
      <c r="N13">
        <v>0.108</v>
      </c>
      <c r="O13">
        <v>0.113</v>
      </c>
      <c r="P13">
        <v>0.115</v>
      </c>
      <c r="Q13">
        <v>0.11799999999999999</v>
      </c>
      <c r="R13">
        <v>0.121</v>
      </c>
      <c r="S13">
        <v>0.123</v>
      </c>
      <c r="T13">
        <v>0.127</v>
      </c>
      <c r="U13">
        <v>0.13</v>
      </c>
      <c r="V13">
        <v>0.13400000000000001</v>
      </c>
      <c r="W13">
        <v>0.13600000000000001</v>
      </c>
      <c r="X13">
        <v>0.14000000000000001</v>
      </c>
      <c r="Y13">
        <v>0.14299999999999999</v>
      </c>
      <c r="Z13">
        <v>0.14599999999999999</v>
      </c>
      <c r="AA13">
        <v>0.14899999999999999</v>
      </c>
      <c r="AB13">
        <v>0.151</v>
      </c>
      <c r="AC13">
        <v>0.155</v>
      </c>
      <c r="AD13">
        <v>0.158</v>
      </c>
      <c r="AE13">
        <v>0.16300000000000001</v>
      </c>
      <c r="AF13">
        <v>0.16600000000000001</v>
      </c>
      <c r="AG13">
        <v>0.17100000000000001</v>
      </c>
      <c r="AH13">
        <v>0.17499999999999999</v>
      </c>
      <c r="AI13">
        <v>0.17799999999999999</v>
      </c>
      <c r="AJ13">
        <v>0.18</v>
      </c>
      <c r="AK13">
        <v>0.182</v>
      </c>
      <c r="AL13">
        <v>0.184</v>
      </c>
      <c r="AM13">
        <v>0.186</v>
      </c>
      <c r="AN13">
        <v>0.187</v>
      </c>
      <c r="AO13">
        <v>0.187</v>
      </c>
      <c r="AP13">
        <v>0.187</v>
      </c>
      <c r="AQ13">
        <v>0.187</v>
      </c>
      <c r="AR13">
        <v>0.187</v>
      </c>
      <c r="AS13">
        <v>0.187</v>
      </c>
      <c r="AT13">
        <v>0.187</v>
      </c>
      <c r="AU13">
        <v>0.187</v>
      </c>
      <c r="AV13">
        <v>0.187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62</v>
      </c>
      <c r="B14">
        <v>0</v>
      </c>
      <c r="C14">
        <v>0</v>
      </c>
      <c r="D14">
        <v>0</v>
      </c>
      <c r="E14">
        <v>0</v>
      </c>
      <c r="F14">
        <v>0</v>
      </c>
      <c r="G14">
        <v>0.11700000000000001</v>
      </c>
      <c r="H14">
        <v>0.127</v>
      </c>
      <c r="I14">
        <v>0.13700000000000001</v>
      </c>
      <c r="J14">
        <v>0.14499999999999999</v>
      </c>
      <c r="K14">
        <v>0.155</v>
      </c>
      <c r="L14">
        <v>0.16400000000000001</v>
      </c>
      <c r="M14">
        <v>0.17199999999999999</v>
      </c>
      <c r="N14">
        <v>0.182</v>
      </c>
      <c r="O14">
        <v>0.189</v>
      </c>
      <c r="P14">
        <v>0.19400000000000001</v>
      </c>
      <c r="Q14">
        <v>0.19800000000000001</v>
      </c>
      <c r="R14">
        <v>0.20300000000000001</v>
      </c>
      <c r="S14">
        <v>0.20799999999999999</v>
      </c>
      <c r="T14">
        <v>0.21299999999999999</v>
      </c>
      <c r="U14">
        <v>0.218</v>
      </c>
      <c r="V14">
        <v>0.224</v>
      </c>
      <c r="W14">
        <v>0.23</v>
      </c>
      <c r="X14">
        <v>0.23599999999999999</v>
      </c>
      <c r="Y14">
        <v>0.24099999999999999</v>
      </c>
      <c r="Z14">
        <v>0.246</v>
      </c>
      <c r="AA14">
        <v>0.25</v>
      </c>
      <c r="AB14">
        <v>0.255</v>
      </c>
      <c r="AC14">
        <v>0.26</v>
      </c>
      <c r="AD14">
        <v>0.26600000000000001</v>
      </c>
      <c r="AE14">
        <v>0.27300000000000002</v>
      </c>
      <c r="AF14">
        <v>0.28000000000000003</v>
      </c>
      <c r="AG14">
        <v>0.28699999999999998</v>
      </c>
      <c r="AH14">
        <v>0.29399999999999998</v>
      </c>
      <c r="AI14">
        <v>0.3</v>
      </c>
      <c r="AJ14">
        <v>0.30299999999999999</v>
      </c>
      <c r="AK14">
        <v>0.307</v>
      </c>
      <c r="AL14">
        <v>0.311</v>
      </c>
      <c r="AM14">
        <v>0.314</v>
      </c>
      <c r="AN14">
        <v>0.316</v>
      </c>
      <c r="AO14">
        <v>0.316</v>
      </c>
      <c r="AP14">
        <v>0.316</v>
      </c>
      <c r="AQ14">
        <v>0.316</v>
      </c>
      <c r="AR14">
        <v>0.316</v>
      </c>
      <c r="AS14">
        <v>0.316</v>
      </c>
      <c r="AT14">
        <v>0.316</v>
      </c>
      <c r="AU14">
        <v>0.316</v>
      </c>
      <c r="AV14">
        <v>0.316</v>
      </c>
      <c r="AW14">
        <v>0.316</v>
      </c>
      <c r="AX14">
        <v>0</v>
      </c>
      <c r="AY14">
        <v>0</v>
      </c>
      <c r="AZ14">
        <v>0</v>
      </c>
    </row>
    <row r="15" spans="1:52" x14ac:dyDescent="0.25">
      <c r="A15">
        <v>63</v>
      </c>
      <c r="B15">
        <v>0</v>
      </c>
      <c r="C15">
        <v>0</v>
      </c>
      <c r="D15">
        <v>0</v>
      </c>
      <c r="E15">
        <v>0</v>
      </c>
      <c r="F15">
        <v>0</v>
      </c>
      <c r="G15">
        <v>0.122</v>
      </c>
      <c r="H15">
        <v>0.13300000000000001</v>
      </c>
      <c r="I15">
        <v>0.14199999999999999</v>
      </c>
      <c r="J15">
        <v>0.152</v>
      </c>
      <c r="K15">
        <v>0.161</v>
      </c>
      <c r="L15">
        <v>0.17100000000000001</v>
      </c>
      <c r="M15">
        <v>0.18</v>
      </c>
      <c r="N15">
        <v>0.19</v>
      </c>
      <c r="O15">
        <v>0.19800000000000001</v>
      </c>
      <c r="P15">
        <v>0.20300000000000001</v>
      </c>
      <c r="Q15">
        <v>0.20699999999999999</v>
      </c>
      <c r="R15">
        <v>0.21199999999999999</v>
      </c>
      <c r="S15">
        <v>0.217</v>
      </c>
      <c r="T15">
        <v>0.222</v>
      </c>
      <c r="U15">
        <v>0.22800000000000001</v>
      </c>
      <c r="V15">
        <v>0.23400000000000001</v>
      </c>
      <c r="W15">
        <v>0.24</v>
      </c>
      <c r="X15">
        <v>0.246</v>
      </c>
      <c r="Y15">
        <v>0.252</v>
      </c>
      <c r="Z15">
        <v>0.25600000000000001</v>
      </c>
      <c r="AA15">
        <v>0.26100000000000001</v>
      </c>
      <c r="AB15">
        <v>0.26600000000000001</v>
      </c>
      <c r="AC15">
        <v>0.27100000000000002</v>
      </c>
      <c r="AD15">
        <v>0.27700000000000002</v>
      </c>
      <c r="AE15">
        <v>0.28499999999999998</v>
      </c>
      <c r="AF15">
        <v>0.29199999999999998</v>
      </c>
      <c r="AG15">
        <v>0.29899999999999999</v>
      </c>
      <c r="AH15">
        <v>0.307</v>
      </c>
      <c r="AI15">
        <v>0.313</v>
      </c>
      <c r="AJ15">
        <v>0.317</v>
      </c>
      <c r="AK15">
        <v>0.32100000000000001</v>
      </c>
      <c r="AL15">
        <v>0.32300000000000001</v>
      </c>
      <c r="AM15">
        <v>0.32700000000000001</v>
      </c>
      <c r="AN15">
        <v>0.32900000000000001</v>
      </c>
      <c r="AO15">
        <v>0.32900000000000001</v>
      </c>
      <c r="AP15">
        <v>0.32900000000000001</v>
      </c>
      <c r="AQ15">
        <v>0.32900000000000001</v>
      </c>
      <c r="AR15">
        <v>0.32900000000000001</v>
      </c>
      <c r="AS15">
        <v>0.32900000000000001</v>
      </c>
      <c r="AT15">
        <v>0.32900000000000001</v>
      </c>
      <c r="AU15">
        <v>0.32900000000000001</v>
      </c>
      <c r="AV15">
        <v>0.32900000000000001</v>
      </c>
      <c r="AW15">
        <v>0.32900000000000001</v>
      </c>
      <c r="AX15">
        <v>0.32900000000000001</v>
      </c>
      <c r="AY15">
        <v>0</v>
      </c>
      <c r="AZ15">
        <v>0</v>
      </c>
    </row>
    <row r="16" spans="1:52" x14ac:dyDescent="0.25">
      <c r="A16">
        <v>64</v>
      </c>
      <c r="B16">
        <v>0</v>
      </c>
      <c r="C16">
        <v>0</v>
      </c>
      <c r="D16">
        <v>0</v>
      </c>
      <c r="E16">
        <v>0</v>
      </c>
      <c r="F16">
        <v>0</v>
      </c>
      <c r="G16">
        <v>0.114</v>
      </c>
      <c r="H16">
        <v>0.123</v>
      </c>
      <c r="I16">
        <v>0.13200000000000001</v>
      </c>
      <c r="J16">
        <v>0.14099999999999999</v>
      </c>
      <c r="K16">
        <v>0.151</v>
      </c>
      <c r="L16">
        <v>0.159</v>
      </c>
      <c r="M16">
        <v>0.16800000000000001</v>
      </c>
      <c r="N16">
        <v>0.17699999999999999</v>
      </c>
      <c r="O16">
        <v>0.184</v>
      </c>
      <c r="P16">
        <v>0.189</v>
      </c>
      <c r="Q16">
        <v>0.193</v>
      </c>
      <c r="R16">
        <v>0.19700000000000001</v>
      </c>
      <c r="S16">
        <v>0.20200000000000001</v>
      </c>
      <c r="T16">
        <v>0.20699999999999999</v>
      </c>
      <c r="U16">
        <v>0.21199999999999999</v>
      </c>
      <c r="V16">
        <v>0.218</v>
      </c>
      <c r="W16">
        <v>0.223</v>
      </c>
      <c r="X16">
        <v>0.22900000000000001</v>
      </c>
      <c r="Y16">
        <v>0.23400000000000001</v>
      </c>
      <c r="Z16">
        <v>0.23899999999999999</v>
      </c>
      <c r="AA16">
        <v>0.24399999999999999</v>
      </c>
      <c r="AB16">
        <v>0.248</v>
      </c>
      <c r="AC16">
        <v>0.253</v>
      </c>
      <c r="AD16">
        <v>0.25900000000000001</v>
      </c>
      <c r="AE16">
        <v>0.26600000000000001</v>
      </c>
      <c r="AF16">
        <v>0.27100000000000002</v>
      </c>
      <c r="AG16">
        <v>0.27900000000000003</v>
      </c>
      <c r="AH16">
        <v>0.28599999999999998</v>
      </c>
      <c r="AI16">
        <v>0.29099999999999998</v>
      </c>
      <c r="AJ16">
        <v>0.29499999999999998</v>
      </c>
      <c r="AK16">
        <v>0.29799999999999999</v>
      </c>
      <c r="AL16">
        <v>0.30199999999999999</v>
      </c>
      <c r="AM16">
        <v>0.30499999999999999</v>
      </c>
      <c r="AN16">
        <v>0.307</v>
      </c>
      <c r="AO16">
        <v>0.307</v>
      </c>
      <c r="AP16">
        <v>0.307</v>
      </c>
      <c r="AQ16">
        <v>0.307</v>
      </c>
      <c r="AR16">
        <v>0.307</v>
      </c>
      <c r="AS16">
        <v>0.307</v>
      </c>
      <c r="AT16">
        <v>0.307</v>
      </c>
      <c r="AU16">
        <v>0.307</v>
      </c>
      <c r="AV16">
        <v>0.307</v>
      </c>
      <c r="AW16">
        <v>0.307</v>
      </c>
      <c r="AX16">
        <v>0.307</v>
      </c>
      <c r="AY16">
        <v>0.307</v>
      </c>
      <c r="AZ16">
        <v>0</v>
      </c>
    </row>
    <row r="17" spans="1:52" x14ac:dyDescent="0.25">
      <c r="A17">
        <v>65</v>
      </c>
      <c r="B17">
        <v>0</v>
      </c>
      <c r="C17">
        <v>0</v>
      </c>
      <c r="D17">
        <v>0</v>
      </c>
      <c r="E17">
        <v>0</v>
      </c>
      <c r="F17">
        <v>0</v>
      </c>
      <c r="G17">
        <v>0.15</v>
      </c>
      <c r="H17">
        <v>0.16200000000000001</v>
      </c>
      <c r="I17">
        <v>0.17399999999999999</v>
      </c>
      <c r="J17">
        <v>0.186</v>
      </c>
      <c r="K17">
        <v>0.19800000000000001</v>
      </c>
      <c r="L17">
        <v>0.20899999999999999</v>
      </c>
      <c r="M17">
        <v>0.221</v>
      </c>
      <c r="N17">
        <v>0.23300000000000001</v>
      </c>
      <c r="O17">
        <v>0.24299999999999999</v>
      </c>
      <c r="P17">
        <v>0.249</v>
      </c>
      <c r="Q17">
        <v>0.255</v>
      </c>
      <c r="R17">
        <v>0.26</v>
      </c>
      <c r="S17">
        <v>0.26600000000000001</v>
      </c>
      <c r="T17">
        <v>0.27300000000000002</v>
      </c>
      <c r="U17">
        <v>0.28000000000000003</v>
      </c>
      <c r="V17">
        <v>0.28699999999999998</v>
      </c>
      <c r="W17">
        <v>0.29399999999999998</v>
      </c>
      <c r="X17">
        <v>0.30199999999999999</v>
      </c>
      <c r="Y17">
        <v>0.309</v>
      </c>
      <c r="Z17">
        <v>0.315</v>
      </c>
      <c r="AA17">
        <v>0.32100000000000001</v>
      </c>
      <c r="AB17">
        <v>0.32700000000000001</v>
      </c>
      <c r="AC17">
        <v>0.33300000000000002</v>
      </c>
      <c r="AD17">
        <v>0.34100000000000003</v>
      </c>
      <c r="AE17">
        <v>0.35</v>
      </c>
      <c r="AF17">
        <v>0.35799999999999998</v>
      </c>
      <c r="AG17">
        <v>0.36799999999999999</v>
      </c>
      <c r="AH17">
        <v>0.377</v>
      </c>
      <c r="AI17">
        <v>0.38400000000000001</v>
      </c>
      <c r="AJ17">
        <v>0.38900000000000001</v>
      </c>
      <c r="AK17">
        <v>0.39300000000000002</v>
      </c>
      <c r="AL17">
        <v>0.39800000000000002</v>
      </c>
      <c r="AM17">
        <v>0.40200000000000002</v>
      </c>
      <c r="AN17">
        <v>0.40500000000000003</v>
      </c>
      <c r="AO17">
        <v>0.40500000000000003</v>
      </c>
      <c r="AP17">
        <v>0.40500000000000003</v>
      </c>
      <c r="AQ17">
        <v>0.40500000000000003</v>
      </c>
      <c r="AR17">
        <v>0.40500000000000003</v>
      </c>
      <c r="AS17">
        <v>0.40500000000000003</v>
      </c>
      <c r="AT17">
        <v>0.40500000000000003</v>
      </c>
      <c r="AU17">
        <v>0.40500000000000003</v>
      </c>
      <c r="AV17">
        <v>0.40500000000000003</v>
      </c>
      <c r="AW17">
        <v>0.40500000000000003</v>
      </c>
      <c r="AX17">
        <v>0.40500000000000003</v>
      </c>
      <c r="AY17">
        <v>0.40500000000000003</v>
      </c>
      <c r="AZ17">
        <v>1</v>
      </c>
    </row>
    <row r="18" spans="1:52" x14ac:dyDescent="0.25">
      <c r="A18">
        <v>66</v>
      </c>
      <c r="B18">
        <v>0</v>
      </c>
      <c r="C18">
        <v>0</v>
      </c>
      <c r="D18">
        <v>0</v>
      </c>
      <c r="E18">
        <v>0</v>
      </c>
      <c r="F18">
        <v>0</v>
      </c>
      <c r="G18">
        <v>0.114</v>
      </c>
      <c r="H18">
        <v>0.123</v>
      </c>
      <c r="I18">
        <v>0.13200000000000001</v>
      </c>
      <c r="J18">
        <v>0.14099999999999999</v>
      </c>
      <c r="K18">
        <v>0.15</v>
      </c>
      <c r="L18">
        <v>0.158</v>
      </c>
      <c r="M18">
        <v>0.16700000000000001</v>
      </c>
      <c r="N18">
        <v>0.17599999999999999</v>
      </c>
      <c r="O18">
        <v>0.183</v>
      </c>
      <c r="P18">
        <v>0.187</v>
      </c>
      <c r="Q18">
        <v>0.192</v>
      </c>
      <c r="R18">
        <v>0.19600000000000001</v>
      </c>
      <c r="S18">
        <v>0.20100000000000001</v>
      </c>
      <c r="T18">
        <v>0.20599999999999999</v>
      </c>
      <c r="U18">
        <v>0.21099999999999999</v>
      </c>
      <c r="V18">
        <v>0.217</v>
      </c>
      <c r="W18">
        <v>0.223</v>
      </c>
      <c r="X18">
        <v>0.22800000000000001</v>
      </c>
      <c r="Y18">
        <v>0.23300000000000001</v>
      </c>
      <c r="Z18">
        <v>0.23799999999999999</v>
      </c>
      <c r="AA18">
        <v>0.24299999999999999</v>
      </c>
      <c r="AB18">
        <v>0.247</v>
      </c>
      <c r="AC18">
        <v>0.251</v>
      </c>
      <c r="AD18">
        <v>0.25700000000000001</v>
      </c>
      <c r="AE18">
        <v>0.26400000000000001</v>
      </c>
      <c r="AF18">
        <v>0.27</v>
      </c>
      <c r="AG18">
        <v>0.27700000000000002</v>
      </c>
      <c r="AH18">
        <v>0.28399999999999997</v>
      </c>
      <c r="AI18">
        <v>0.28999999999999998</v>
      </c>
      <c r="AJ18">
        <v>0.29299999999999998</v>
      </c>
      <c r="AK18">
        <v>0.29699999999999999</v>
      </c>
      <c r="AL18">
        <v>0.3</v>
      </c>
      <c r="AM18">
        <v>0.30399999999999999</v>
      </c>
      <c r="AN18">
        <v>0.30499999999999999</v>
      </c>
      <c r="AO18">
        <v>0.30499999999999999</v>
      </c>
      <c r="AP18">
        <v>0.30499999999999999</v>
      </c>
      <c r="AQ18">
        <v>0.30499999999999999</v>
      </c>
      <c r="AR18">
        <v>0.30499999999999999</v>
      </c>
      <c r="AS18">
        <v>0.30499999999999999</v>
      </c>
      <c r="AT18">
        <v>0.30499999999999999</v>
      </c>
      <c r="AU18">
        <v>0.30499999999999999</v>
      </c>
      <c r="AV18">
        <v>0.30499999999999999</v>
      </c>
      <c r="AW18">
        <v>0.30499999999999999</v>
      </c>
      <c r="AX18">
        <v>0.30499999999999999</v>
      </c>
      <c r="AY18">
        <v>0.30499999999999999</v>
      </c>
      <c r="AZ18">
        <v>1</v>
      </c>
    </row>
    <row r="19" spans="1:52" x14ac:dyDescent="0.25">
      <c r="A19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0.14099999999999999</v>
      </c>
      <c r="H19">
        <v>0.152</v>
      </c>
      <c r="I19">
        <v>0.16400000000000001</v>
      </c>
      <c r="J19">
        <v>0.17499999999999999</v>
      </c>
      <c r="K19">
        <v>0.187</v>
      </c>
      <c r="L19">
        <v>0.19600000000000001</v>
      </c>
      <c r="M19">
        <v>0.20799999999999999</v>
      </c>
      <c r="N19">
        <v>0.219</v>
      </c>
      <c r="O19">
        <v>0.22800000000000001</v>
      </c>
      <c r="P19">
        <v>0.23300000000000001</v>
      </c>
      <c r="Q19">
        <v>0.23799999999999999</v>
      </c>
      <c r="R19">
        <v>0.245</v>
      </c>
      <c r="S19">
        <v>0.25</v>
      </c>
      <c r="T19">
        <v>0.25600000000000001</v>
      </c>
      <c r="U19">
        <v>0.26300000000000001</v>
      </c>
      <c r="V19">
        <v>0.27</v>
      </c>
      <c r="W19">
        <v>0.27600000000000002</v>
      </c>
      <c r="X19">
        <v>0.28299999999999997</v>
      </c>
      <c r="Y19">
        <v>0.28999999999999998</v>
      </c>
      <c r="Z19">
        <v>0.29599999999999999</v>
      </c>
      <c r="AA19">
        <v>0.30099999999999999</v>
      </c>
      <c r="AB19">
        <v>0.307</v>
      </c>
      <c r="AC19">
        <v>0.312</v>
      </c>
      <c r="AD19">
        <v>0.32</v>
      </c>
      <c r="AE19">
        <v>0.32900000000000001</v>
      </c>
      <c r="AF19">
        <v>0.33700000000000002</v>
      </c>
      <c r="AG19">
        <v>0.34599999999999997</v>
      </c>
      <c r="AH19">
        <v>0.35499999999999998</v>
      </c>
      <c r="AI19">
        <v>0.36099999999999999</v>
      </c>
      <c r="AJ19">
        <v>0.36499999999999999</v>
      </c>
      <c r="AK19">
        <v>0.36899999999999999</v>
      </c>
      <c r="AL19">
        <v>0.374</v>
      </c>
      <c r="AM19">
        <v>0.378</v>
      </c>
      <c r="AN19">
        <v>0.38</v>
      </c>
      <c r="AO19">
        <v>0.38</v>
      </c>
      <c r="AP19">
        <v>0.38</v>
      </c>
      <c r="AQ19">
        <v>0.38</v>
      </c>
      <c r="AR19">
        <v>0.38</v>
      </c>
      <c r="AS19">
        <v>0.38</v>
      </c>
      <c r="AT19">
        <v>0.38</v>
      </c>
      <c r="AU19">
        <v>0.38</v>
      </c>
      <c r="AV19">
        <v>0.38</v>
      </c>
      <c r="AW19">
        <v>0.38</v>
      </c>
      <c r="AX19">
        <v>0.38</v>
      </c>
      <c r="AY19">
        <v>0.38</v>
      </c>
      <c r="AZ19">
        <v>1</v>
      </c>
    </row>
    <row r="20" spans="1:52" x14ac:dyDescent="0.25">
      <c r="A20">
        <v>68</v>
      </c>
      <c r="B20">
        <v>0</v>
      </c>
      <c r="C20">
        <v>0</v>
      </c>
      <c r="D20">
        <v>0</v>
      </c>
      <c r="E20">
        <v>0</v>
      </c>
      <c r="F20">
        <v>0</v>
      </c>
      <c r="G20">
        <v>0.10299999999999999</v>
      </c>
      <c r="H20">
        <v>0.111</v>
      </c>
      <c r="I20">
        <v>0.11899999999999999</v>
      </c>
      <c r="J20">
        <v>0.127</v>
      </c>
      <c r="K20">
        <v>0.13600000000000001</v>
      </c>
      <c r="L20">
        <v>0.14299999999999999</v>
      </c>
      <c r="M20">
        <v>0.151</v>
      </c>
      <c r="N20">
        <v>0.159</v>
      </c>
      <c r="O20">
        <v>0.16600000000000001</v>
      </c>
      <c r="P20">
        <v>0.16900000000000001</v>
      </c>
      <c r="Q20">
        <v>0.17399999999999999</v>
      </c>
      <c r="R20">
        <v>0.17699999999999999</v>
      </c>
      <c r="S20">
        <v>0.182</v>
      </c>
      <c r="T20">
        <v>0.186</v>
      </c>
      <c r="U20">
        <v>0.191</v>
      </c>
      <c r="V20">
        <v>0.19600000000000001</v>
      </c>
      <c r="W20">
        <v>0.20100000000000001</v>
      </c>
      <c r="X20">
        <v>0.20599999999999999</v>
      </c>
      <c r="Y20">
        <v>0.21099999999999999</v>
      </c>
      <c r="Z20">
        <v>0.215</v>
      </c>
      <c r="AA20">
        <v>0.219</v>
      </c>
      <c r="AB20">
        <v>0.223</v>
      </c>
      <c r="AC20">
        <v>0.22700000000000001</v>
      </c>
      <c r="AD20">
        <v>0.23200000000000001</v>
      </c>
      <c r="AE20">
        <v>0.23899999999999999</v>
      </c>
      <c r="AF20">
        <v>0.245</v>
      </c>
      <c r="AG20">
        <v>0.251</v>
      </c>
      <c r="AH20">
        <v>0.25700000000000001</v>
      </c>
      <c r="AI20">
        <v>0.26200000000000001</v>
      </c>
      <c r="AJ20">
        <v>0.26500000000000001</v>
      </c>
      <c r="AK20">
        <v>0.26800000000000002</v>
      </c>
      <c r="AL20">
        <v>0.27200000000000002</v>
      </c>
      <c r="AM20">
        <v>0.27400000000000002</v>
      </c>
      <c r="AN20">
        <v>0.27600000000000002</v>
      </c>
      <c r="AO20">
        <v>0.27600000000000002</v>
      </c>
      <c r="AP20">
        <v>0.27600000000000002</v>
      </c>
      <c r="AQ20">
        <v>0.27600000000000002</v>
      </c>
      <c r="AR20">
        <v>0.27600000000000002</v>
      </c>
      <c r="AS20">
        <v>0.27600000000000002</v>
      </c>
      <c r="AT20">
        <v>0.27600000000000002</v>
      </c>
      <c r="AU20">
        <v>0.27600000000000002</v>
      </c>
      <c r="AV20">
        <v>0.27600000000000002</v>
      </c>
      <c r="AW20">
        <v>0.27600000000000002</v>
      </c>
      <c r="AX20">
        <v>0.27600000000000002</v>
      </c>
      <c r="AY20">
        <v>0.27600000000000002</v>
      </c>
      <c r="AZ20">
        <v>1</v>
      </c>
    </row>
    <row r="21" spans="1:52" x14ac:dyDescent="0.25">
      <c r="A21">
        <v>69</v>
      </c>
      <c r="B21">
        <v>0</v>
      </c>
      <c r="C21">
        <v>0</v>
      </c>
      <c r="D21">
        <v>0</v>
      </c>
      <c r="E21">
        <v>0</v>
      </c>
      <c r="F21">
        <v>0</v>
      </c>
      <c r="G21">
        <v>0.109</v>
      </c>
      <c r="H21">
        <v>0.11899999999999999</v>
      </c>
      <c r="I21">
        <v>0.127</v>
      </c>
      <c r="J21">
        <v>0.13600000000000001</v>
      </c>
      <c r="K21">
        <v>0.14399999999999999</v>
      </c>
      <c r="L21">
        <v>0.153</v>
      </c>
      <c r="M21">
        <v>0.16200000000000001</v>
      </c>
      <c r="N21">
        <v>0.17</v>
      </c>
      <c r="O21">
        <v>0.17699999999999999</v>
      </c>
      <c r="P21">
        <v>0.18099999999999999</v>
      </c>
      <c r="Q21">
        <v>0.185</v>
      </c>
      <c r="R21">
        <v>0.19</v>
      </c>
      <c r="S21">
        <v>0.19400000000000001</v>
      </c>
      <c r="T21">
        <v>0.19900000000000001</v>
      </c>
      <c r="U21">
        <v>0.20399999999999999</v>
      </c>
      <c r="V21">
        <v>0.20899999999999999</v>
      </c>
      <c r="W21">
        <v>0.215</v>
      </c>
      <c r="X21">
        <v>0.219</v>
      </c>
      <c r="Y21">
        <v>0.22500000000000001</v>
      </c>
      <c r="Z21">
        <v>0.22900000000000001</v>
      </c>
      <c r="AA21">
        <v>0.23400000000000001</v>
      </c>
      <c r="AB21">
        <v>0.23799999999999999</v>
      </c>
      <c r="AC21">
        <v>0.24199999999999999</v>
      </c>
      <c r="AD21">
        <v>0.248</v>
      </c>
      <c r="AE21">
        <v>0.255</v>
      </c>
      <c r="AF21">
        <v>0.26100000000000001</v>
      </c>
      <c r="AG21">
        <v>0.26800000000000002</v>
      </c>
      <c r="AH21">
        <v>0.27500000000000002</v>
      </c>
      <c r="AI21">
        <v>0.27900000000000003</v>
      </c>
      <c r="AJ21">
        <v>0.28299999999999997</v>
      </c>
      <c r="AK21">
        <v>0.28599999999999998</v>
      </c>
      <c r="AL21">
        <v>0.28999999999999998</v>
      </c>
      <c r="AM21">
        <v>0.29299999999999998</v>
      </c>
      <c r="AN21">
        <v>0.29399999999999998</v>
      </c>
      <c r="AO21">
        <v>0.29399999999999998</v>
      </c>
      <c r="AP21">
        <v>0.29399999999999998</v>
      </c>
      <c r="AQ21">
        <v>0.29399999999999998</v>
      </c>
      <c r="AR21">
        <v>0.29399999999999998</v>
      </c>
      <c r="AS21">
        <v>0.29399999999999998</v>
      </c>
      <c r="AT21">
        <v>0.29399999999999998</v>
      </c>
      <c r="AU21">
        <v>0.29399999999999998</v>
      </c>
      <c r="AV21">
        <v>0.29399999999999998</v>
      </c>
      <c r="AW21">
        <v>0.29399999999999998</v>
      </c>
      <c r="AX21">
        <v>0.29399999999999998</v>
      </c>
      <c r="AY21">
        <v>0.29399999999999998</v>
      </c>
      <c r="AZ21">
        <v>1</v>
      </c>
    </row>
    <row r="22" spans="1:52" x14ac:dyDescent="0.25">
      <c r="A22">
        <v>70</v>
      </c>
      <c r="B22">
        <v>0</v>
      </c>
      <c r="C22">
        <v>0</v>
      </c>
      <c r="D22">
        <v>0</v>
      </c>
      <c r="E22">
        <v>0</v>
      </c>
      <c r="F22">
        <v>0</v>
      </c>
      <c r="G22">
        <v>0.11700000000000001</v>
      </c>
      <c r="H22">
        <v>0.126</v>
      </c>
      <c r="I22">
        <v>0.13500000000000001</v>
      </c>
      <c r="J22">
        <v>0.14399999999999999</v>
      </c>
      <c r="K22">
        <v>0.154</v>
      </c>
      <c r="L22">
        <v>0.16200000000000001</v>
      </c>
      <c r="M22">
        <v>0.17100000000000001</v>
      </c>
      <c r="N22">
        <v>0.18</v>
      </c>
      <c r="O22">
        <v>0.187</v>
      </c>
      <c r="P22">
        <v>0.192</v>
      </c>
      <c r="Q22">
        <v>0.19700000000000001</v>
      </c>
      <c r="R22">
        <v>0.20100000000000001</v>
      </c>
      <c r="S22">
        <v>0.20599999999999999</v>
      </c>
      <c r="T22">
        <v>0.21099999999999999</v>
      </c>
      <c r="U22">
        <v>0.217</v>
      </c>
      <c r="V22">
        <v>0.222</v>
      </c>
      <c r="W22">
        <v>0.22800000000000001</v>
      </c>
      <c r="X22">
        <v>0.23400000000000001</v>
      </c>
      <c r="Y22">
        <v>0.23799999999999999</v>
      </c>
      <c r="Z22">
        <v>0.24299999999999999</v>
      </c>
      <c r="AA22">
        <v>0.248</v>
      </c>
      <c r="AB22">
        <v>0.253</v>
      </c>
      <c r="AC22">
        <v>0.25800000000000001</v>
      </c>
      <c r="AD22">
        <v>0.26300000000000001</v>
      </c>
      <c r="AE22">
        <v>0.27100000000000002</v>
      </c>
      <c r="AF22">
        <v>0.27700000000000002</v>
      </c>
      <c r="AG22">
        <v>0.28499999999999998</v>
      </c>
      <c r="AH22">
        <v>0.29199999999999998</v>
      </c>
      <c r="AI22">
        <v>0.29699999999999999</v>
      </c>
      <c r="AJ22">
        <v>0.3</v>
      </c>
      <c r="AK22">
        <v>0.30399999999999999</v>
      </c>
      <c r="AL22">
        <v>0.307</v>
      </c>
      <c r="AM22">
        <v>0.311</v>
      </c>
      <c r="AN22">
        <v>0.313</v>
      </c>
      <c r="AO22">
        <v>0.313</v>
      </c>
      <c r="AP22">
        <v>0.313</v>
      </c>
      <c r="AQ22">
        <v>0.313</v>
      </c>
      <c r="AR22">
        <v>0.313</v>
      </c>
      <c r="AS22">
        <v>0.313</v>
      </c>
      <c r="AT22">
        <v>0.313</v>
      </c>
      <c r="AU22">
        <v>0.313</v>
      </c>
      <c r="AV22">
        <v>0.313</v>
      </c>
      <c r="AW22">
        <v>0.313</v>
      </c>
      <c r="AX22">
        <v>0.313</v>
      </c>
      <c r="AY22">
        <v>0.313</v>
      </c>
      <c r="AZ22">
        <v>1</v>
      </c>
    </row>
    <row r="23" spans="1:52" x14ac:dyDescent="0.25">
      <c r="A23">
        <v>71</v>
      </c>
      <c r="B23">
        <v>0</v>
      </c>
      <c r="C23">
        <v>0</v>
      </c>
      <c r="D23">
        <v>0</v>
      </c>
      <c r="E23">
        <v>0</v>
      </c>
      <c r="F23">
        <v>0</v>
      </c>
      <c r="G23">
        <v>9.8000000000000004E-2</v>
      </c>
      <c r="H23">
        <v>0.106</v>
      </c>
      <c r="I23">
        <v>0.114</v>
      </c>
      <c r="J23">
        <v>0.121</v>
      </c>
      <c r="K23">
        <v>0.13</v>
      </c>
      <c r="L23">
        <v>0.13700000000000001</v>
      </c>
      <c r="M23">
        <v>0.14399999999999999</v>
      </c>
      <c r="N23">
        <v>0.152</v>
      </c>
      <c r="O23">
        <v>0.158</v>
      </c>
      <c r="P23">
        <v>0.16200000000000001</v>
      </c>
      <c r="Q23">
        <v>0.16500000000000001</v>
      </c>
      <c r="R23">
        <v>0.17</v>
      </c>
      <c r="S23">
        <v>0.17299999999999999</v>
      </c>
      <c r="T23">
        <v>0.17799999999999999</v>
      </c>
      <c r="U23">
        <v>0.183</v>
      </c>
      <c r="V23">
        <v>0.188</v>
      </c>
      <c r="W23">
        <v>0.192</v>
      </c>
      <c r="X23">
        <v>0.19700000000000001</v>
      </c>
      <c r="Y23">
        <v>0.20100000000000001</v>
      </c>
      <c r="Z23">
        <v>0.20499999999999999</v>
      </c>
      <c r="AA23">
        <v>0.20899999999999999</v>
      </c>
      <c r="AB23">
        <v>0.21199999999999999</v>
      </c>
      <c r="AC23">
        <v>0.217</v>
      </c>
      <c r="AD23">
        <v>0.222</v>
      </c>
      <c r="AE23">
        <v>0.22800000000000001</v>
      </c>
      <c r="AF23">
        <v>0.23300000000000001</v>
      </c>
      <c r="AG23">
        <v>0.24</v>
      </c>
      <c r="AH23">
        <v>0.246</v>
      </c>
      <c r="AI23">
        <v>0.25</v>
      </c>
      <c r="AJ23">
        <v>0.253</v>
      </c>
      <c r="AK23">
        <v>0.25600000000000001</v>
      </c>
      <c r="AL23">
        <v>0.25900000000000001</v>
      </c>
      <c r="AM23">
        <v>0.26200000000000001</v>
      </c>
      <c r="AN23">
        <v>0.26300000000000001</v>
      </c>
      <c r="AO23">
        <v>0.26300000000000001</v>
      </c>
      <c r="AP23">
        <v>0.26300000000000001</v>
      </c>
      <c r="AQ23">
        <v>0.26300000000000001</v>
      </c>
      <c r="AR23">
        <v>0.26300000000000001</v>
      </c>
      <c r="AS23">
        <v>0.26300000000000001</v>
      </c>
      <c r="AT23">
        <v>0.26300000000000001</v>
      </c>
      <c r="AU23">
        <v>0.26300000000000001</v>
      </c>
      <c r="AV23">
        <v>0.26300000000000001</v>
      </c>
      <c r="AW23">
        <v>0.26300000000000001</v>
      </c>
      <c r="AX23">
        <v>0.26300000000000001</v>
      </c>
      <c r="AY23">
        <v>0.26300000000000001</v>
      </c>
      <c r="AZ23">
        <v>1</v>
      </c>
    </row>
    <row r="24" spans="1:52" x14ac:dyDescent="0.25">
      <c r="A24">
        <v>72</v>
      </c>
      <c r="B24">
        <v>0</v>
      </c>
      <c r="C24">
        <v>0</v>
      </c>
      <c r="D24">
        <v>0</v>
      </c>
      <c r="E24">
        <v>0</v>
      </c>
      <c r="F24">
        <v>0</v>
      </c>
      <c r="G24">
        <v>0.108</v>
      </c>
      <c r="H24">
        <v>0.11700000000000001</v>
      </c>
      <c r="I24">
        <v>0.124</v>
      </c>
      <c r="J24">
        <v>0.13300000000000001</v>
      </c>
      <c r="K24">
        <v>0.14199999999999999</v>
      </c>
      <c r="L24">
        <v>0.15</v>
      </c>
      <c r="M24">
        <v>0.158</v>
      </c>
      <c r="N24">
        <v>0.16700000000000001</v>
      </c>
      <c r="O24">
        <v>0.17299999999999999</v>
      </c>
      <c r="P24">
        <v>0.17699999999999999</v>
      </c>
      <c r="Q24">
        <v>0.182</v>
      </c>
      <c r="R24">
        <v>0.186</v>
      </c>
      <c r="S24">
        <v>0.19</v>
      </c>
      <c r="T24">
        <v>0.19500000000000001</v>
      </c>
      <c r="U24">
        <v>0.2</v>
      </c>
      <c r="V24">
        <v>0.20599999999999999</v>
      </c>
      <c r="W24">
        <v>0.21</v>
      </c>
      <c r="X24">
        <v>0.216</v>
      </c>
      <c r="Y24">
        <v>0.22</v>
      </c>
      <c r="Z24">
        <v>0.224</v>
      </c>
      <c r="AA24">
        <v>0.22900000000000001</v>
      </c>
      <c r="AB24">
        <v>0.23300000000000001</v>
      </c>
      <c r="AC24">
        <v>0.23799999999999999</v>
      </c>
      <c r="AD24">
        <v>0.24299999999999999</v>
      </c>
      <c r="AE24">
        <v>0.25</v>
      </c>
      <c r="AF24">
        <v>0.255</v>
      </c>
      <c r="AG24">
        <v>0.26300000000000001</v>
      </c>
      <c r="AH24">
        <v>0.27</v>
      </c>
      <c r="AI24">
        <v>0.27400000000000002</v>
      </c>
      <c r="AJ24">
        <v>0.27700000000000002</v>
      </c>
      <c r="AK24">
        <v>0.28100000000000003</v>
      </c>
      <c r="AL24">
        <v>0.28399999999999997</v>
      </c>
      <c r="AM24">
        <v>0.28699999999999998</v>
      </c>
      <c r="AN24">
        <v>0.28799999999999998</v>
      </c>
      <c r="AO24">
        <v>0.28799999999999998</v>
      </c>
      <c r="AP24">
        <v>0.28799999999999998</v>
      </c>
      <c r="AQ24">
        <v>0.28799999999999998</v>
      </c>
      <c r="AR24">
        <v>0.28799999999999998</v>
      </c>
      <c r="AS24">
        <v>0.28799999999999998</v>
      </c>
      <c r="AT24">
        <v>0.28799999999999998</v>
      </c>
      <c r="AU24">
        <v>0.28799999999999998</v>
      </c>
      <c r="AV24">
        <v>0.28799999999999998</v>
      </c>
      <c r="AW24">
        <v>0.28799999999999998</v>
      </c>
      <c r="AX24">
        <v>0.28799999999999998</v>
      </c>
      <c r="AY24">
        <v>0.28799999999999998</v>
      </c>
      <c r="AZ24">
        <v>1</v>
      </c>
    </row>
    <row r="25" spans="1:52" x14ac:dyDescent="0.25">
      <c r="A25">
        <v>73</v>
      </c>
      <c r="B25">
        <v>0</v>
      </c>
      <c r="C25">
        <v>0</v>
      </c>
      <c r="D25">
        <v>0</v>
      </c>
      <c r="E25">
        <v>0</v>
      </c>
      <c r="F25">
        <v>0</v>
      </c>
      <c r="G25">
        <v>8.2000000000000003E-2</v>
      </c>
      <c r="H25">
        <v>8.8999999999999996E-2</v>
      </c>
      <c r="I25">
        <v>9.5000000000000001E-2</v>
      </c>
      <c r="J25">
        <v>0.10199999999999999</v>
      </c>
      <c r="K25">
        <v>0.108</v>
      </c>
      <c r="L25">
        <v>0.115</v>
      </c>
      <c r="M25">
        <v>0.121</v>
      </c>
      <c r="N25">
        <v>0.128</v>
      </c>
      <c r="O25">
        <v>0.13200000000000001</v>
      </c>
      <c r="P25">
        <v>0.13500000000000001</v>
      </c>
      <c r="Q25">
        <v>0.13800000000000001</v>
      </c>
      <c r="R25">
        <v>0.14299999999999999</v>
      </c>
      <c r="S25">
        <v>0.14599999999999999</v>
      </c>
      <c r="T25">
        <v>0.14799999999999999</v>
      </c>
      <c r="U25">
        <v>0.153</v>
      </c>
      <c r="V25">
        <v>0.157</v>
      </c>
      <c r="W25">
        <v>0.16</v>
      </c>
      <c r="X25">
        <v>0.16500000000000001</v>
      </c>
      <c r="Y25">
        <v>0.16800000000000001</v>
      </c>
      <c r="Z25">
        <v>0.17199999999999999</v>
      </c>
      <c r="AA25">
        <v>0.17499999999999999</v>
      </c>
      <c r="AB25">
        <v>0.17799999999999999</v>
      </c>
      <c r="AC25">
        <v>0.182</v>
      </c>
      <c r="AD25">
        <v>0.185</v>
      </c>
      <c r="AE25">
        <v>0.191</v>
      </c>
      <c r="AF25">
        <v>0.19500000000000001</v>
      </c>
      <c r="AG25">
        <v>0.2</v>
      </c>
      <c r="AH25">
        <v>0.20499999999999999</v>
      </c>
      <c r="AI25">
        <v>0.20899999999999999</v>
      </c>
      <c r="AJ25">
        <v>0.21199999999999999</v>
      </c>
      <c r="AK25">
        <v>0.214</v>
      </c>
      <c r="AL25">
        <v>0.217</v>
      </c>
      <c r="AM25">
        <v>0.22</v>
      </c>
      <c r="AN25">
        <v>0.221</v>
      </c>
      <c r="AO25">
        <v>0.221</v>
      </c>
      <c r="AP25">
        <v>0.221</v>
      </c>
      <c r="AQ25">
        <v>0.221</v>
      </c>
      <c r="AR25">
        <v>0.221</v>
      </c>
      <c r="AS25">
        <v>0.221</v>
      </c>
      <c r="AT25">
        <v>0.221</v>
      </c>
      <c r="AU25">
        <v>0.221</v>
      </c>
      <c r="AV25">
        <v>0.221</v>
      </c>
      <c r="AW25">
        <v>0.221</v>
      </c>
      <c r="AX25">
        <v>0.221</v>
      </c>
      <c r="AY25">
        <v>0.221</v>
      </c>
      <c r="AZ25">
        <v>1</v>
      </c>
    </row>
    <row r="26" spans="1:52" x14ac:dyDescent="0.25">
      <c r="A26">
        <v>74</v>
      </c>
      <c r="B26">
        <v>0</v>
      </c>
      <c r="C26">
        <v>0</v>
      </c>
      <c r="D26">
        <v>0</v>
      </c>
      <c r="E26">
        <v>0</v>
      </c>
      <c r="F26">
        <v>0</v>
      </c>
      <c r="G26">
        <v>9.2999999999999999E-2</v>
      </c>
      <c r="H26">
        <v>0.1</v>
      </c>
      <c r="I26">
        <v>0.107</v>
      </c>
      <c r="J26">
        <v>0.114</v>
      </c>
      <c r="K26">
        <v>0.123</v>
      </c>
      <c r="L26">
        <v>0.129</v>
      </c>
      <c r="M26">
        <v>0.13600000000000001</v>
      </c>
      <c r="N26">
        <v>0.14399999999999999</v>
      </c>
      <c r="O26">
        <v>0.14899999999999999</v>
      </c>
      <c r="P26">
        <v>0.153</v>
      </c>
      <c r="Q26">
        <v>0.156</v>
      </c>
      <c r="R26">
        <v>0.16</v>
      </c>
      <c r="S26">
        <v>0.16300000000000001</v>
      </c>
      <c r="T26">
        <v>0.16700000000000001</v>
      </c>
      <c r="U26">
        <v>0.17199999999999999</v>
      </c>
      <c r="V26">
        <v>0.17699999999999999</v>
      </c>
      <c r="W26">
        <v>0.18099999999999999</v>
      </c>
      <c r="X26">
        <v>0.185</v>
      </c>
      <c r="Y26">
        <v>0.189</v>
      </c>
      <c r="Z26">
        <v>0.193</v>
      </c>
      <c r="AA26">
        <v>0.19700000000000001</v>
      </c>
      <c r="AB26">
        <v>0.20100000000000001</v>
      </c>
      <c r="AC26">
        <v>0.20499999999999999</v>
      </c>
      <c r="AD26">
        <v>0.20899999999999999</v>
      </c>
      <c r="AE26">
        <v>0.215</v>
      </c>
      <c r="AF26">
        <v>0.219</v>
      </c>
      <c r="AG26">
        <v>0.22600000000000001</v>
      </c>
      <c r="AH26">
        <v>0.23100000000000001</v>
      </c>
      <c r="AI26">
        <v>0.23599999999999999</v>
      </c>
      <c r="AJ26">
        <v>0.23799999999999999</v>
      </c>
      <c r="AK26">
        <v>0.24099999999999999</v>
      </c>
      <c r="AL26">
        <v>0.24399999999999999</v>
      </c>
      <c r="AM26">
        <v>0.247</v>
      </c>
      <c r="AN26">
        <v>0.249</v>
      </c>
      <c r="AO26">
        <v>0.249</v>
      </c>
      <c r="AP26">
        <v>0.249</v>
      </c>
      <c r="AQ26">
        <v>0.249</v>
      </c>
      <c r="AR26">
        <v>0.249</v>
      </c>
      <c r="AS26">
        <v>0.249</v>
      </c>
      <c r="AT26">
        <v>0.249</v>
      </c>
      <c r="AU26">
        <v>0.249</v>
      </c>
      <c r="AV26">
        <v>0.249</v>
      </c>
      <c r="AW26">
        <v>0.249</v>
      </c>
      <c r="AX26">
        <v>0.249</v>
      </c>
      <c r="AY26">
        <v>0.249</v>
      </c>
      <c r="AZ26">
        <v>1</v>
      </c>
    </row>
    <row r="27" spans="1:52" x14ac:dyDescent="0.25">
      <c r="A27">
        <v>75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B1EBA-C5EF-453C-8E7A-9B1839842AD8}">
  <sheetPr codeName="Sheet7"/>
  <dimension ref="A1:AZ5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15</v>
      </c>
      <c r="B2">
        <v>0.1812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16</v>
      </c>
      <c r="B3">
        <v>0.17979999999999999</v>
      </c>
      <c r="C3">
        <v>0.1615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17</v>
      </c>
      <c r="B4">
        <v>0.1784</v>
      </c>
      <c r="C4">
        <v>0.16009999999999999</v>
      </c>
      <c r="D4">
        <v>0.14180000000000001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18</v>
      </c>
      <c r="B5">
        <v>0.17699999999999999</v>
      </c>
      <c r="C5">
        <v>0.15870000000000001</v>
      </c>
      <c r="D5">
        <v>0.1404</v>
      </c>
      <c r="E5">
        <v>0.1221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19</v>
      </c>
      <c r="B6">
        <v>0.17560000000000001</v>
      </c>
      <c r="C6">
        <v>0.1573</v>
      </c>
      <c r="D6">
        <v>0.13900000000000001</v>
      </c>
      <c r="E6">
        <v>0.1207</v>
      </c>
      <c r="F6">
        <v>0.1024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20</v>
      </c>
      <c r="B7">
        <v>0.17419999999999999</v>
      </c>
      <c r="C7">
        <v>0.15590000000000001</v>
      </c>
      <c r="D7">
        <v>0.1376</v>
      </c>
      <c r="E7">
        <v>0.1193</v>
      </c>
      <c r="F7">
        <v>0.10100000000000001</v>
      </c>
      <c r="G7">
        <v>9.4600000000000004E-2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21</v>
      </c>
      <c r="B8">
        <v>0.17299999999999999</v>
      </c>
      <c r="C8">
        <v>0.1545</v>
      </c>
      <c r="D8">
        <v>0.13619999999999999</v>
      </c>
      <c r="E8">
        <v>0.1179</v>
      </c>
      <c r="F8">
        <v>9.9599999999999994E-2</v>
      </c>
      <c r="G8">
        <v>9.3100000000000002E-2</v>
      </c>
      <c r="H8">
        <v>9.0700000000000003E-2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22</v>
      </c>
      <c r="B9">
        <v>0.1716</v>
      </c>
      <c r="C9">
        <v>0.1532</v>
      </c>
      <c r="D9">
        <v>0.1348</v>
      </c>
      <c r="E9">
        <v>0.11650000000000001</v>
      </c>
      <c r="F9">
        <v>9.8199999999999996E-2</v>
      </c>
      <c r="G9">
        <v>9.1499999999999998E-2</v>
      </c>
      <c r="H9">
        <v>8.9200000000000002E-2</v>
      </c>
      <c r="I9">
        <v>8.6900000000000005E-2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23</v>
      </c>
      <c r="B10">
        <v>0.17019999999999999</v>
      </c>
      <c r="C10">
        <v>0.15190000000000001</v>
      </c>
      <c r="D10">
        <v>0.13350000000000001</v>
      </c>
      <c r="E10">
        <v>0.11509999999999999</v>
      </c>
      <c r="F10">
        <v>9.6799999999999997E-2</v>
      </c>
      <c r="G10">
        <v>0.09</v>
      </c>
      <c r="H10">
        <v>8.7599999999999997E-2</v>
      </c>
      <c r="I10">
        <v>8.5300000000000001E-2</v>
      </c>
      <c r="J10">
        <v>8.3000000000000004E-2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24</v>
      </c>
      <c r="B11">
        <v>0.16880000000000001</v>
      </c>
      <c r="C11">
        <v>0.15049999999999999</v>
      </c>
      <c r="D11">
        <v>0.13220000000000001</v>
      </c>
      <c r="E11">
        <v>0.1138</v>
      </c>
      <c r="F11">
        <v>9.5399999999999999E-2</v>
      </c>
      <c r="G11">
        <v>8.8400000000000006E-2</v>
      </c>
      <c r="H11">
        <v>8.6099999999999996E-2</v>
      </c>
      <c r="I11">
        <v>8.3699999999999997E-2</v>
      </c>
      <c r="J11">
        <v>8.14E-2</v>
      </c>
      <c r="K11">
        <v>7.8899999999999998E-2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25</v>
      </c>
      <c r="B12">
        <v>0.16739999999999999</v>
      </c>
      <c r="C12">
        <v>0.14910000000000001</v>
      </c>
      <c r="D12">
        <v>0.1308</v>
      </c>
      <c r="E12">
        <v>0.1125</v>
      </c>
      <c r="F12">
        <v>9.4E-2</v>
      </c>
      <c r="G12">
        <v>8.6800000000000002E-2</v>
      </c>
      <c r="H12">
        <v>8.4500000000000006E-2</v>
      </c>
      <c r="I12">
        <v>8.2000000000000003E-2</v>
      </c>
      <c r="J12">
        <v>7.9799999999999996E-2</v>
      </c>
      <c r="K12">
        <v>7.7299999999999994E-2</v>
      </c>
      <c r="L12">
        <v>7.4899999999999994E-2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26</v>
      </c>
      <c r="B13">
        <v>0.16600000000000001</v>
      </c>
      <c r="C13">
        <v>0.1477</v>
      </c>
      <c r="D13">
        <v>0.12939999999999999</v>
      </c>
      <c r="E13">
        <v>0.1111</v>
      </c>
      <c r="F13">
        <v>9.2799999999999994E-2</v>
      </c>
      <c r="G13">
        <v>8.5199999999999998E-2</v>
      </c>
      <c r="H13">
        <v>8.2900000000000001E-2</v>
      </c>
      <c r="I13">
        <v>8.0500000000000002E-2</v>
      </c>
      <c r="J13">
        <v>7.8100000000000003E-2</v>
      </c>
      <c r="K13">
        <v>7.5800000000000006E-2</v>
      </c>
      <c r="L13">
        <v>7.3300000000000004E-2</v>
      </c>
      <c r="M13">
        <v>7.22E-2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27</v>
      </c>
      <c r="B14">
        <v>0.1646</v>
      </c>
      <c r="C14">
        <v>0.14630000000000001</v>
      </c>
      <c r="D14">
        <v>0.128</v>
      </c>
      <c r="E14">
        <v>0.10970000000000001</v>
      </c>
      <c r="F14">
        <v>9.1399999999999995E-2</v>
      </c>
      <c r="G14">
        <v>8.3599999999999994E-2</v>
      </c>
      <c r="H14">
        <v>8.1299999999999997E-2</v>
      </c>
      <c r="I14">
        <v>7.9000000000000001E-2</v>
      </c>
      <c r="J14">
        <v>7.6600000000000001E-2</v>
      </c>
      <c r="K14">
        <v>7.4099999999999999E-2</v>
      </c>
      <c r="L14">
        <v>7.1599999999999997E-2</v>
      </c>
      <c r="M14">
        <v>7.0699999999999999E-2</v>
      </c>
      <c r="N14">
        <v>6.9699999999999998E-2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 x14ac:dyDescent="0.25">
      <c r="A15">
        <v>28</v>
      </c>
      <c r="B15">
        <v>0.16339999999999999</v>
      </c>
      <c r="C15">
        <v>0.1449</v>
      </c>
      <c r="D15">
        <v>0.12659999999999999</v>
      </c>
      <c r="E15">
        <v>0.10829999999999999</v>
      </c>
      <c r="F15">
        <v>0.09</v>
      </c>
      <c r="G15">
        <v>8.2100000000000006E-2</v>
      </c>
      <c r="H15">
        <v>7.9699999999999993E-2</v>
      </c>
      <c r="I15">
        <v>7.7399999999999997E-2</v>
      </c>
      <c r="J15">
        <v>7.4899999999999994E-2</v>
      </c>
      <c r="K15">
        <v>7.2499999999999995E-2</v>
      </c>
      <c r="L15">
        <v>7.0000000000000007E-2</v>
      </c>
      <c r="M15">
        <v>6.9099999999999995E-2</v>
      </c>
      <c r="N15">
        <v>6.8099999999999994E-2</v>
      </c>
      <c r="O15">
        <v>6.2899999999999998E-2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 x14ac:dyDescent="0.25">
      <c r="A16">
        <v>29</v>
      </c>
      <c r="B16">
        <v>0.16200000000000001</v>
      </c>
      <c r="C16">
        <v>0.14360000000000001</v>
      </c>
      <c r="D16">
        <v>0.12520000000000001</v>
      </c>
      <c r="E16">
        <v>0.1069</v>
      </c>
      <c r="F16">
        <v>8.8599999999999998E-2</v>
      </c>
      <c r="G16">
        <v>8.0500000000000002E-2</v>
      </c>
      <c r="H16">
        <v>7.8100000000000003E-2</v>
      </c>
      <c r="I16">
        <v>7.5800000000000006E-2</v>
      </c>
      <c r="J16">
        <v>7.3300000000000004E-2</v>
      </c>
      <c r="K16">
        <v>7.0999999999999994E-2</v>
      </c>
      <c r="L16">
        <v>6.8500000000000005E-2</v>
      </c>
      <c r="M16">
        <v>6.7500000000000004E-2</v>
      </c>
      <c r="N16">
        <v>6.6400000000000001E-2</v>
      </c>
      <c r="O16">
        <v>6.13E-2</v>
      </c>
      <c r="P16">
        <v>6.0600000000000001E-2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 x14ac:dyDescent="0.25">
      <c r="A17">
        <v>30</v>
      </c>
      <c r="B17">
        <v>0.16059999999999999</v>
      </c>
      <c r="C17">
        <v>0.14230000000000001</v>
      </c>
      <c r="D17">
        <v>0.12379999999999999</v>
      </c>
      <c r="E17">
        <v>0.1055</v>
      </c>
      <c r="F17">
        <v>8.72E-2</v>
      </c>
      <c r="G17">
        <v>7.9000000000000001E-2</v>
      </c>
      <c r="H17">
        <v>7.6499999999999999E-2</v>
      </c>
      <c r="I17">
        <v>7.4300000000000005E-2</v>
      </c>
      <c r="J17">
        <v>7.1800000000000003E-2</v>
      </c>
      <c r="K17">
        <v>6.93E-2</v>
      </c>
      <c r="L17">
        <v>6.6799999999999998E-2</v>
      </c>
      <c r="M17">
        <v>6.59E-2</v>
      </c>
      <c r="N17">
        <v>6.4799999999999996E-2</v>
      </c>
      <c r="O17">
        <v>5.9900000000000002E-2</v>
      </c>
      <c r="P17">
        <v>5.91E-2</v>
      </c>
      <c r="Q17">
        <v>5.8099999999999999E-2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 x14ac:dyDescent="0.25">
      <c r="A18">
        <v>31</v>
      </c>
      <c r="B18">
        <v>0.15920000000000001</v>
      </c>
      <c r="C18">
        <v>0.1409</v>
      </c>
      <c r="D18">
        <v>0.1226</v>
      </c>
      <c r="E18">
        <v>0.1041</v>
      </c>
      <c r="F18">
        <v>8.5800000000000001E-2</v>
      </c>
      <c r="G18">
        <v>7.7399999999999997E-2</v>
      </c>
      <c r="H18">
        <v>7.51E-2</v>
      </c>
      <c r="I18">
        <v>7.2599999999999998E-2</v>
      </c>
      <c r="J18">
        <v>7.0199999999999999E-2</v>
      </c>
      <c r="K18">
        <v>6.7699999999999996E-2</v>
      </c>
      <c r="L18">
        <v>6.5199999999999994E-2</v>
      </c>
      <c r="M18">
        <v>6.4199999999999993E-2</v>
      </c>
      <c r="N18">
        <v>6.3100000000000003E-2</v>
      </c>
      <c r="O18">
        <v>5.8299999999999998E-2</v>
      </c>
      <c r="P18">
        <v>5.74E-2</v>
      </c>
      <c r="Q18">
        <v>5.6599999999999998E-2</v>
      </c>
      <c r="R18">
        <v>5.5599999999999997E-2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 x14ac:dyDescent="0.25">
      <c r="A19">
        <v>32</v>
      </c>
      <c r="B19">
        <v>0.1578</v>
      </c>
      <c r="C19">
        <v>0.13950000000000001</v>
      </c>
      <c r="D19">
        <v>0.1212</v>
      </c>
      <c r="E19">
        <v>0.10290000000000001</v>
      </c>
      <c r="F19">
        <v>8.4400000000000003E-2</v>
      </c>
      <c r="G19">
        <v>7.5800000000000006E-2</v>
      </c>
      <c r="H19">
        <v>7.3400000000000007E-2</v>
      </c>
      <c r="I19">
        <v>7.0999999999999994E-2</v>
      </c>
      <c r="J19">
        <v>6.8599999999999994E-2</v>
      </c>
      <c r="K19">
        <v>6.6100000000000006E-2</v>
      </c>
      <c r="L19">
        <v>6.3600000000000004E-2</v>
      </c>
      <c r="M19">
        <v>6.25E-2</v>
      </c>
      <c r="N19">
        <v>6.1600000000000002E-2</v>
      </c>
      <c r="O19">
        <v>5.6800000000000003E-2</v>
      </c>
      <c r="P19">
        <v>5.5800000000000002E-2</v>
      </c>
      <c r="Q19">
        <v>5.4899999999999997E-2</v>
      </c>
      <c r="R19">
        <v>5.4100000000000002E-2</v>
      </c>
      <c r="S19">
        <v>5.2699999999999997E-2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 x14ac:dyDescent="0.25">
      <c r="A20">
        <v>33</v>
      </c>
      <c r="B20">
        <v>0.15640000000000001</v>
      </c>
      <c r="C20">
        <v>0.1381</v>
      </c>
      <c r="D20">
        <v>0.1198</v>
      </c>
      <c r="E20">
        <v>0.10150000000000001</v>
      </c>
      <c r="F20">
        <v>8.3199999999999996E-2</v>
      </c>
      <c r="G20">
        <v>7.4200000000000002E-2</v>
      </c>
      <c r="H20">
        <v>7.1800000000000003E-2</v>
      </c>
      <c r="I20">
        <v>6.93E-2</v>
      </c>
      <c r="J20">
        <v>6.7000000000000004E-2</v>
      </c>
      <c r="K20">
        <v>6.4500000000000002E-2</v>
      </c>
      <c r="L20">
        <v>6.2E-2</v>
      </c>
      <c r="M20">
        <v>6.0900000000000003E-2</v>
      </c>
      <c r="N20">
        <v>5.9900000000000002E-2</v>
      </c>
      <c r="O20">
        <v>5.5199999999999999E-2</v>
      </c>
      <c r="P20">
        <v>5.4300000000000001E-2</v>
      </c>
      <c r="Q20">
        <v>5.33E-2</v>
      </c>
      <c r="R20">
        <v>5.2499999999999998E-2</v>
      </c>
      <c r="S20">
        <v>5.1200000000000002E-2</v>
      </c>
      <c r="T20">
        <v>5.0099999999999999E-2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 x14ac:dyDescent="0.25">
      <c r="A21">
        <v>34</v>
      </c>
      <c r="B21">
        <v>0.155</v>
      </c>
      <c r="C21">
        <v>0.13669999999999999</v>
      </c>
      <c r="D21">
        <v>0.11840000000000001</v>
      </c>
      <c r="E21">
        <v>0.10009999999999999</v>
      </c>
      <c r="F21">
        <v>8.1799999999999998E-2</v>
      </c>
      <c r="G21">
        <v>7.2599999999999998E-2</v>
      </c>
      <c r="H21">
        <v>7.0300000000000001E-2</v>
      </c>
      <c r="I21">
        <v>6.7900000000000002E-2</v>
      </c>
      <c r="J21">
        <v>6.54E-2</v>
      </c>
      <c r="K21">
        <v>6.2899999999999998E-2</v>
      </c>
      <c r="L21">
        <v>6.0400000000000002E-2</v>
      </c>
      <c r="M21">
        <v>5.9400000000000001E-2</v>
      </c>
      <c r="N21">
        <v>5.8299999999999998E-2</v>
      </c>
      <c r="O21">
        <v>5.3600000000000002E-2</v>
      </c>
      <c r="P21">
        <v>5.2699999999999997E-2</v>
      </c>
      <c r="Q21">
        <v>5.1900000000000002E-2</v>
      </c>
      <c r="R21">
        <v>5.0999999999999997E-2</v>
      </c>
      <c r="S21">
        <v>4.9599999999999998E-2</v>
      </c>
      <c r="T21">
        <v>4.8500000000000001E-2</v>
      </c>
      <c r="U21">
        <v>4.7699999999999999E-2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 x14ac:dyDescent="0.25">
      <c r="A22">
        <v>35</v>
      </c>
      <c r="B22">
        <v>0.1537</v>
      </c>
      <c r="C22">
        <v>0.1353</v>
      </c>
      <c r="D22">
        <v>0.11700000000000001</v>
      </c>
      <c r="E22">
        <v>9.8699999999999996E-2</v>
      </c>
      <c r="F22">
        <v>8.0399999999999999E-2</v>
      </c>
      <c r="G22">
        <v>7.1099999999999997E-2</v>
      </c>
      <c r="H22">
        <v>6.8699999999999997E-2</v>
      </c>
      <c r="I22">
        <v>6.6299999999999998E-2</v>
      </c>
      <c r="J22">
        <v>6.3700000000000007E-2</v>
      </c>
      <c r="K22">
        <v>6.1199999999999997E-2</v>
      </c>
      <c r="L22">
        <v>5.8700000000000002E-2</v>
      </c>
      <c r="M22">
        <v>5.7700000000000001E-2</v>
      </c>
      <c r="N22">
        <v>5.6599999999999998E-2</v>
      </c>
      <c r="O22">
        <v>5.21E-2</v>
      </c>
      <c r="P22">
        <v>5.11E-2</v>
      </c>
      <c r="Q22">
        <v>5.0299999999999997E-2</v>
      </c>
      <c r="R22">
        <v>4.9399999999999999E-2</v>
      </c>
      <c r="S22">
        <v>4.7899999999999998E-2</v>
      </c>
      <c r="T22">
        <v>4.7100000000000003E-2</v>
      </c>
      <c r="U22">
        <v>4.5999999999999999E-2</v>
      </c>
      <c r="V22">
        <v>4.4999999999999998E-2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 x14ac:dyDescent="0.25">
      <c r="A23">
        <v>36</v>
      </c>
      <c r="B23">
        <v>0.15240000000000001</v>
      </c>
      <c r="C23">
        <v>0.13389999999999999</v>
      </c>
      <c r="D23">
        <v>0.11559999999999999</v>
      </c>
      <c r="E23">
        <v>9.7299999999999998E-2</v>
      </c>
      <c r="F23">
        <v>7.9000000000000001E-2</v>
      </c>
      <c r="G23">
        <v>6.9500000000000006E-2</v>
      </c>
      <c r="H23">
        <v>6.7000000000000004E-2</v>
      </c>
      <c r="I23">
        <v>6.4699999999999994E-2</v>
      </c>
      <c r="J23">
        <v>6.2100000000000002E-2</v>
      </c>
      <c r="K23">
        <v>5.9700000000000003E-2</v>
      </c>
      <c r="L23">
        <v>5.7200000000000001E-2</v>
      </c>
      <c r="M23">
        <v>5.6099999999999997E-2</v>
      </c>
      <c r="N23">
        <v>5.5E-2</v>
      </c>
      <c r="O23">
        <v>5.0500000000000003E-2</v>
      </c>
      <c r="P23">
        <v>4.9700000000000001E-2</v>
      </c>
      <c r="Q23">
        <v>4.87E-2</v>
      </c>
      <c r="R23">
        <v>4.7800000000000002E-2</v>
      </c>
      <c r="S23">
        <v>4.6399999999999997E-2</v>
      </c>
      <c r="T23">
        <v>4.5499999999999999E-2</v>
      </c>
      <c r="U23">
        <v>4.4400000000000002E-2</v>
      </c>
      <c r="V23">
        <v>4.3299999999999998E-2</v>
      </c>
      <c r="W23">
        <v>4.24E-2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 x14ac:dyDescent="0.25">
      <c r="A24">
        <v>37</v>
      </c>
      <c r="B24">
        <v>0.151</v>
      </c>
      <c r="C24">
        <v>0.13270000000000001</v>
      </c>
      <c r="D24">
        <v>0.1142</v>
      </c>
      <c r="E24">
        <v>9.5899999999999999E-2</v>
      </c>
      <c r="F24">
        <v>7.7600000000000002E-2</v>
      </c>
      <c r="G24">
        <v>6.8000000000000005E-2</v>
      </c>
      <c r="H24">
        <v>6.54E-2</v>
      </c>
      <c r="I24">
        <v>6.3100000000000003E-2</v>
      </c>
      <c r="J24">
        <v>6.0600000000000001E-2</v>
      </c>
      <c r="K24">
        <v>5.8099999999999999E-2</v>
      </c>
      <c r="L24">
        <v>5.5599999999999997E-2</v>
      </c>
      <c r="M24">
        <v>5.45E-2</v>
      </c>
      <c r="N24">
        <v>5.33E-2</v>
      </c>
      <c r="O24">
        <v>4.9099999999999998E-2</v>
      </c>
      <c r="P24">
        <v>4.82E-2</v>
      </c>
      <c r="Q24">
        <v>4.7199999999999999E-2</v>
      </c>
      <c r="R24">
        <v>4.6100000000000002E-2</v>
      </c>
      <c r="S24">
        <v>4.4900000000000002E-2</v>
      </c>
      <c r="T24">
        <v>4.3799999999999999E-2</v>
      </c>
      <c r="U24">
        <v>4.2900000000000001E-2</v>
      </c>
      <c r="V24">
        <v>4.1700000000000001E-2</v>
      </c>
      <c r="W24">
        <v>4.0800000000000003E-2</v>
      </c>
      <c r="X24">
        <v>3.9600000000000003E-2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 x14ac:dyDescent="0.25">
      <c r="A25">
        <v>38</v>
      </c>
      <c r="B25">
        <v>0.14960000000000001</v>
      </c>
      <c r="C25">
        <v>0.1313</v>
      </c>
      <c r="D25">
        <v>0.113</v>
      </c>
      <c r="E25">
        <v>9.4500000000000001E-2</v>
      </c>
      <c r="F25">
        <v>7.6200000000000004E-2</v>
      </c>
      <c r="G25">
        <v>6.6400000000000001E-2</v>
      </c>
      <c r="H25">
        <v>6.4000000000000001E-2</v>
      </c>
      <c r="I25">
        <v>6.1400000000000003E-2</v>
      </c>
      <c r="J25">
        <v>5.91E-2</v>
      </c>
      <c r="K25">
        <v>5.6399999999999999E-2</v>
      </c>
      <c r="L25">
        <v>5.3900000000000003E-2</v>
      </c>
      <c r="M25">
        <v>5.28E-2</v>
      </c>
      <c r="N25">
        <v>5.1700000000000003E-2</v>
      </c>
      <c r="O25">
        <v>4.7500000000000001E-2</v>
      </c>
      <c r="P25">
        <v>4.6600000000000003E-2</v>
      </c>
      <c r="Q25">
        <v>4.5600000000000002E-2</v>
      </c>
      <c r="R25">
        <v>4.4499999999999998E-2</v>
      </c>
      <c r="S25">
        <v>4.3400000000000001E-2</v>
      </c>
      <c r="T25">
        <v>4.2299999999999997E-2</v>
      </c>
      <c r="U25">
        <v>4.1200000000000001E-2</v>
      </c>
      <c r="V25">
        <v>4.0300000000000002E-2</v>
      </c>
      <c r="W25">
        <v>3.9199999999999999E-2</v>
      </c>
      <c r="X25">
        <v>3.7900000000000003E-2</v>
      </c>
      <c r="Y25">
        <v>3.6799999999999999E-2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 x14ac:dyDescent="0.25">
      <c r="A26">
        <v>39</v>
      </c>
      <c r="B26">
        <v>0.1482</v>
      </c>
      <c r="C26">
        <v>0.12989999999999999</v>
      </c>
      <c r="D26">
        <v>0.1116</v>
      </c>
      <c r="E26">
        <v>9.3299999999999994E-2</v>
      </c>
      <c r="F26">
        <v>7.4800000000000005E-2</v>
      </c>
      <c r="G26">
        <v>6.4799999999999996E-2</v>
      </c>
      <c r="H26">
        <v>6.2399999999999997E-2</v>
      </c>
      <c r="I26">
        <v>5.9799999999999999E-2</v>
      </c>
      <c r="J26">
        <v>5.74E-2</v>
      </c>
      <c r="K26">
        <v>5.4800000000000001E-2</v>
      </c>
      <c r="L26">
        <v>5.2299999999999999E-2</v>
      </c>
      <c r="M26">
        <v>5.11E-2</v>
      </c>
      <c r="N26">
        <v>5.0099999999999999E-2</v>
      </c>
      <c r="O26">
        <v>4.5999999999999999E-2</v>
      </c>
      <c r="P26">
        <v>4.4999999999999998E-2</v>
      </c>
      <c r="Q26">
        <v>4.41E-2</v>
      </c>
      <c r="R26">
        <v>4.3099999999999999E-2</v>
      </c>
      <c r="S26">
        <v>4.1799999999999997E-2</v>
      </c>
      <c r="T26">
        <v>4.07E-2</v>
      </c>
      <c r="U26">
        <v>3.9600000000000003E-2</v>
      </c>
      <c r="V26">
        <v>3.8600000000000002E-2</v>
      </c>
      <c r="W26">
        <v>3.7499999999999999E-2</v>
      </c>
      <c r="X26">
        <v>3.6299999999999999E-2</v>
      </c>
      <c r="Y26">
        <v>3.5400000000000001E-2</v>
      </c>
      <c r="Z26">
        <v>3.4099999999999998E-2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 x14ac:dyDescent="0.25">
      <c r="A27">
        <v>40</v>
      </c>
      <c r="B27">
        <v>0.14680000000000001</v>
      </c>
      <c r="C27">
        <v>0.1285</v>
      </c>
      <c r="D27">
        <v>0.11020000000000001</v>
      </c>
      <c r="E27">
        <v>9.1899999999999996E-2</v>
      </c>
      <c r="F27">
        <v>7.3499999999999996E-2</v>
      </c>
      <c r="G27">
        <v>6.3200000000000006E-2</v>
      </c>
      <c r="H27">
        <v>6.08E-2</v>
      </c>
      <c r="I27">
        <v>5.8299999999999998E-2</v>
      </c>
      <c r="J27">
        <v>5.5800000000000002E-2</v>
      </c>
      <c r="K27">
        <v>5.33E-2</v>
      </c>
      <c r="L27">
        <v>5.0700000000000002E-2</v>
      </c>
      <c r="M27">
        <v>4.9500000000000002E-2</v>
      </c>
      <c r="N27">
        <v>4.8500000000000001E-2</v>
      </c>
      <c r="O27">
        <v>4.4400000000000002E-2</v>
      </c>
      <c r="P27">
        <v>4.3400000000000001E-2</v>
      </c>
      <c r="Q27">
        <v>4.24E-2</v>
      </c>
      <c r="R27">
        <v>4.1500000000000002E-2</v>
      </c>
      <c r="S27">
        <v>4.0099999999999997E-2</v>
      </c>
      <c r="T27">
        <v>3.9100000000000003E-2</v>
      </c>
      <c r="U27">
        <v>3.8100000000000002E-2</v>
      </c>
      <c r="V27">
        <v>3.6999999999999998E-2</v>
      </c>
      <c r="W27">
        <v>3.5900000000000001E-2</v>
      </c>
      <c r="X27">
        <v>3.4700000000000002E-2</v>
      </c>
      <c r="Y27">
        <v>3.3599999999999998E-2</v>
      </c>
      <c r="Z27">
        <v>3.2500000000000001E-2</v>
      </c>
      <c r="AA27">
        <v>3.1199999999999999E-2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 x14ac:dyDescent="0.25">
      <c r="A28">
        <v>41</v>
      </c>
      <c r="B28">
        <v>0.1454</v>
      </c>
      <c r="C28">
        <v>0.12709999999999999</v>
      </c>
      <c r="D28">
        <v>0.10879999999999999</v>
      </c>
      <c r="E28">
        <v>9.0499999999999997E-2</v>
      </c>
      <c r="F28">
        <v>7.22E-2</v>
      </c>
      <c r="G28">
        <v>6.1600000000000002E-2</v>
      </c>
      <c r="H28">
        <v>5.9200000000000003E-2</v>
      </c>
      <c r="I28">
        <v>5.6800000000000003E-2</v>
      </c>
      <c r="J28">
        <v>5.4199999999999998E-2</v>
      </c>
      <c r="K28">
        <v>5.1700000000000003E-2</v>
      </c>
      <c r="L28">
        <v>4.9000000000000002E-2</v>
      </c>
      <c r="M28">
        <v>4.8000000000000001E-2</v>
      </c>
      <c r="N28">
        <v>4.6800000000000001E-2</v>
      </c>
      <c r="O28">
        <v>4.2900000000000001E-2</v>
      </c>
      <c r="P28">
        <v>4.19E-2</v>
      </c>
      <c r="Q28">
        <v>4.0899999999999999E-2</v>
      </c>
      <c r="R28">
        <v>0.04</v>
      </c>
      <c r="S28">
        <v>3.85E-2</v>
      </c>
      <c r="T28">
        <v>3.7400000000000003E-2</v>
      </c>
      <c r="U28">
        <v>3.6400000000000002E-2</v>
      </c>
      <c r="V28">
        <v>3.5299999999999998E-2</v>
      </c>
      <c r="W28">
        <v>3.4200000000000001E-2</v>
      </c>
      <c r="X28">
        <v>3.32E-2</v>
      </c>
      <c r="Y28">
        <v>3.1899999999999998E-2</v>
      </c>
      <c r="Z28">
        <v>3.0800000000000001E-2</v>
      </c>
      <c r="AA28">
        <v>2.9499999999999998E-2</v>
      </c>
      <c r="AB28">
        <v>2.8400000000000002E-2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 x14ac:dyDescent="0.25">
      <c r="A29">
        <v>42</v>
      </c>
      <c r="B29">
        <v>0.14410000000000001</v>
      </c>
      <c r="C29">
        <v>0.12570000000000001</v>
      </c>
      <c r="D29">
        <v>0.1074</v>
      </c>
      <c r="E29">
        <v>8.9099999999999999E-2</v>
      </c>
      <c r="F29">
        <v>7.0800000000000002E-2</v>
      </c>
      <c r="G29">
        <v>6.0100000000000001E-2</v>
      </c>
      <c r="H29">
        <v>5.7599999999999998E-2</v>
      </c>
      <c r="I29">
        <v>5.5199999999999999E-2</v>
      </c>
      <c r="J29">
        <v>5.2499999999999998E-2</v>
      </c>
      <c r="K29">
        <v>0.05</v>
      </c>
      <c r="L29">
        <v>4.7500000000000001E-2</v>
      </c>
      <c r="M29">
        <v>4.6300000000000001E-2</v>
      </c>
      <c r="N29">
        <v>4.5199999999999997E-2</v>
      </c>
      <c r="O29">
        <v>4.1300000000000003E-2</v>
      </c>
      <c r="P29">
        <v>4.0300000000000002E-2</v>
      </c>
      <c r="Q29">
        <v>3.9399999999999998E-2</v>
      </c>
      <c r="R29">
        <v>3.8300000000000001E-2</v>
      </c>
      <c r="S29">
        <v>3.6900000000000002E-2</v>
      </c>
      <c r="T29">
        <v>3.5999999999999997E-2</v>
      </c>
      <c r="U29">
        <v>3.49E-2</v>
      </c>
      <c r="V29">
        <v>3.3700000000000001E-2</v>
      </c>
      <c r="W29">
        <v>3.2599999999999997E-2</v>
      </c>
      <c r="X29">
        <v>3.15E-2</v>
      </c>
      <c r="Y29">
        <v>3.0300000000000001E-2</v>
      </c>
      <c r="Z29">
        <v>2.9100000000000001E-2</v>
      </c>
      <c r="AA29">
        <v>2.7900000000000001E-2</v>
      </c>
      <c r="AB29">
        <v>2.6800000000000001E-2</v>
      </c>
      <c r="AC29">
        <v>2.5499999999999998E-2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 x14ac:dyDescent="0.25">
      <c r="A30">
        <v>43</v>
      </c>
      <c r="B30">
        <v>0.14280000000000001</v>
      </c>
      <c r="C30">
        <v>0.12429999999999999</v>
      </c>
      <c r="D30">
        <v>0.106</v>
      </c>
      <c r="E30">
        <v>8.77E-2</v>
      </c>
      <c r="F30">
        <v>6.9400000000000003E-2</v>
      </c>
      <c r="G30">
        <v>5.8500000000000003E-2</v>
      </c>
      <c r="H30">
        <v>5.6000000000000001E-2</v>
      </c>
      <c r="I30">
        <v>5.3499999999999999E-2</v>
      </c>
      <c r="J30">
        <v>5.0999999999999997E-2</v>
      </c>
      <c r="K30">
        <v>4.8500000000000001E-2</v>
      </c>
      <c r="L30">
        <v>4.5900000000000003E-2</v>
      </c>
      <c r="M30">
        <v>4.48E-2</v>
      </c>
      <c r="N30">
        <v>4.3499999999999997E-2</v>
      </c>
      <c r="O30">
        <v>3.9699999999999999E-2</v>
      </c>
      <c r="P30">
        <v>3.8899999999999997E-2</v>
      </c>
      <c r="Q30">
        <v>3.78E-2</v>
      </c>
      <c r="R30">
        <v>3.6700000000000003E-2</v>
      </c>
      <c r="S30">
        <v>3.5400000000000001E-2</v>
      </c>
      <c r="T30">
        <v>3.44E-2</v>
      </c>
      <c r="U30">
        <v>3.3300000000000003E-2</v>
      </c>
      <c r="V30">
        <v>3.2000000000000001E-2</v>
      </c>
      <c r="W30">
        <v>3.1099999999999999E-2</v>
      </c>
      <c r="X30">
        <v>2.9899999999999999E-2</v>
      </c>
      <c r="Y30">
        <v>2.86E-2</v>
      </c>
      <c r="Z30">
        <v>2.7400000000000001E-2</v>
      </c>
      <c r="AA30">
        <v>2.63E-2</v>
      </c>
      <c r="AB30">
        <v>2.5100000000000001E-2</v>
      </c>
      <c r="AC30">
        <v>2.3800000000000002E-2</v>
      </c>
      <c r="AD30">
        <v>2.24E-2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 x14ac:dyDescent="0.25">
      <c r="A31">
        <v>44</v>
      </c>
      <c r="B31">
        <v>0.1414</v>
      </c>
      <c r="C31">
        <v>0.1231</v>
      </c>
      <c r="D31">
        <v>0.1046</v>
      </c>
      <c r="E31">
        <v>8.6300000000000002E-2</v>
      </c>
      <c r="F31">
        <v>6.8000000000000005E-2</v>
      </c>
      <c r="G31">
        <v>5.7000000000000002E-2</v>
      </c>
      <c r="H31">
        <v>5.4399999999999997E-2</v>
      </c>
      <c r="I31">
        <v>5.1900000000000002E-2</v>
      </c>
      <c r="J31">
        <v>4.9500000000000002E-2</v>
      </c>
      <c r="K31">
        <v>4.6899999999999997E-2</v>
      </c>
      <c r="L31">
        <v>4.4299999999999999E-2</v>
      </c>
      <c r="M31">
        <v>4.3099999999999999E-2</v>
      </c>
      <c r="N31">
        <v>4.19E-2</v>
      </c>
      <c r="O31">
        <v>3.8300000000000001E-2</v>
      </c>
      <c r="P31">
        <v>3.73E-2</v>
      </c>
      <c r="Q31">
        <v>3.6200000000000003E-2</v>
      </c>
      <c r="R31">
        <v>3.5099999999999999E-2</v>
      </c>
      <c r="S31">
        <v>3.4000000000000002E-2</v>
      </c>
      <c r="T31">
        <v>3.2800000000000003E-2</v>
      </c>
      <c r="U31">
        <v>3.1600000000000003E-2</v>
      </c>
      <c r="V31">
        <v>3.0499999999999999E-2</v>
      </c>
      <c r="W31">
        <v>2.9499999999999998E-2</v>
      </c>
      <c r="X31">
        <v>2.8199999999999999E-2</v>
      </c>
      <c r="Y31">
        <v>2.7099999999999999E-2</v>
      </c>
      <c r="Z31">
        <v>2.5899999999999999E-2</v>
      </c>
      <c r="AA31">
        <v>2.46E-2</v>
      </c>
      <c r="AB31">
        <v>2.3300000000000001E-2</v>
      </c>
      <c r="AC31">
        <v>2.1999999999999999E-2</v>
      </c>
      <c r="AD31">
        <v>2.07E-2</v>
      </c>
      <c r="AE31">
        <v>1.9300000000000001E-2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 x14ac:dyDescent="0.25">
      <c r="A32">
        <v>45</v>
      </c>
      <c r="B32">
        <v>0.14000000000000001</v>
      </c>
      <c r="C32">
        <v>0.1217</v>
      </c>
      <c r="D32">
        <v>0.10340000000000001</v>
      </c>
      <c r="E32">
        <v>8.4900000000000003E-2</v>
      </c>
      <c r="F32">
        <v>6.6600000000000006E-2</v>
      </c>
      <c r="G32">
        <v>5.5399999999999998E-2</v>
      </c>
      <c r="H32">
        <v>5.2900000000000003E-2</v>
      </c>
      <c r="I32">
        <v>5.04E-2</v>
      </c>
      <c r="J32">
        <v>4.7899999999999998E-2</v>
      </c>
      <c r="K32">
        <v>4.5199999999999997E-2</v>
      </c>
      <c r="L32">
        <v>4.2700000000000002E-2</v>
      </c>
      <c r="M32">
        <v>4.1500000000000002E-2</v>
      </c>
      <c r="N32">
        <v>4.02E-2</v>
      </c>
      <c r="O32">
        <v>3.6799999999999999E-2</v>
      </c>
      <c r="P32">
        <v>3.5799999999999998E-2</v>
      </c>
      <c r="Q32">
        <v>3.4700000000000002E-2</v>
      </c>
      <c r="R32">
        <v>3.3500000000000002E-2</v>
      </c>
      <c r="S32">
        <v>3.2300000000000002E-2</v>
      </c>
      <c r="T32">
        <v>3.1099999999999999E-2</v>
      </c>
      <c r="U32">
        <v>0.03</v>
      </c>
      <c r="V32">
        <v>2.9000000000000001E-2</v>
      </c>
      <c r="W32">
        <v>2.7799999999999998E-2</v>
      </c>
      <c r="X32">
        <v>2.6599999999999999E-2</v>
      </c>
      <c r="Y32">
        <v>2.53E-2</v>
      </c>
      <c r="Z32">
        <v>2.4199999999999999E-2</v>
      </c>
      <c r="AA32">
        <v>2.29E-2</v>
      </c>
      <c r="AB32">
        <v>2.1600000000000001E-2</v>
      </c>
      <c r="AC32">
        <v>2.0400000000000001E-2</v>
      </c>
      <c r="AD32">
        <v>1.9E-2</v>
      </c>
      <c r="AE32">
        <v>1.7500000000000002E-2</v>
      </c>
      <c r="AF32">
        <v>1.61E-2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 x14ac:dyDescent="0.25">
      <c r="A33">
        <v>46</v>
      </c>
      <c r="B33">
        <v>0.1386</v>
      </c>
      <c r="C33">
        <v>0.1203</v>
      </c>
      <c r="D33">
        <v>0.10199999999999999</v>
      </c>
      <c r="E33">
        <v>8.3699999999999997E-2</v>
      </c>
      <c r="F33">
        <v>6.5199999999999994E-2</v>
      </c>
      <c r="G33">
        <v>5.3800000000000001E-2</v>
      </c>
      <c r="H33">
        <v>5.1400000000000001E-2</v>
      </c>
      <c r="I33">
        <v>4.87E-2</v>
      </c>
      <c r="J33">
        <v>4.6199999999999998E-2</v>
      </c>
      <c r="K33">
        <v>4.36E-2</v>
      </c>
      <c r="L33">
        <v>4.1000000000000002E-2</v>
      </c>
      <c r="M33">
        <v>3.9899999999999998E-2</v>
      </c>
      <c r="N33">
        <v>3.8699999999999998E-2</v>
      </c>
      <c r="O33">
        <v>3.5200000000000002E-2</v>
      </c>
      <c r="P33">
        <v>3.4200000000000001E-2</v>
      </c>
      <c r="Q33">
        <v>3.3099999999999997E-2</v>
      </c>
      <c r="R33">
        <v>3.2099999999999997E-2</v>
      </c>
      <c r="S33">
        <v>3.0700000000000002E-2</v>
      </c>
      <c r="T33">
        <v>2.9499999999999998E-2</v>
      </c>
      <c r="U33">
        <v>2.8400000000000002E-2</v>
      </c>
      <c r="V33">
        <v>2.7300000000000001E-2</v>
      </c>
      <c r="W33">
        <v>2.6200000000000001E-2</v>
      </c>
      <c r="X33">
        <v>2.4899999999999999E-2</v>
      </c>
      <c r="Y33">
        <v>2.3800000000000002E-2</v>
      </c>
      <c r="Z33">
        <v>2.2499999999999999E-2</v>
      </c>
      <c r="AA33">
        <v>2.12E-2</v>
      </c>
      <c r="AB33">
        <v>1.9900000000000001E-2</v>
      </c>
      <c r="AC33">
        <v>1.8700000000000001E-2</v>
      </c>
      <c r="AD33">
        <v>1.72E-2</v>
      </c>
      <c r="AE33">
        <v>1.5800000000000002E-2</v>
      </c>
      <c r="AF33">
        <v>1.4500000000000001E-2</v>
      </c>
      <c r="AG33">
        <v>1.2999999999999999E-2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 x14ac:dyDescent="0.25">
      <c r="A34">
        <v>47</v>
      </c>
      <c r="B34">
        <v>0.13719999999999999</v>
      </c>
      <c r="C34">
        <v>0.11890000000000001</v>
      </c>
      <c r="D34">
        <v>0.10059999999999999</v>
      </c>
      <c r="E34">
        <v>8.2299999999999998E-2</v>
      </c>
      <c r="F34">
        <v>6.3899999999999998E-2</v>
      </c>
      <c r="G34">
        <v>5.2200000000000003E-2</v>
      </c>
      <c r="H34">
        <v>4.9700000000000001E-2</v>
      </c>
      <c r="I34">
        <v>4.7100000000000003E-2</v>
      </c>
      <c r="J34">
        <v>4.4600000000000001E-2</v>
      </c>
      <c r="K34">
        <v>4.2000000000000003E-2</v>
      </c>
      <c r="L34">
        <v>3.9399999999999998E-2</v>
      </c>
      <c r="M34">
        <v>3.8199999999999998E-2</v>
      </c>
      <c r="N34">
        <v>3.7199999999999997E-2</v>
      </c>
      <c r="O34">
        <v>3.3599999999999998E-2</v>
      </c>
      <c r="P34">
        <v>3.2500000000000001E-2</v>
      </c>
      <c r="Q34">
        <v>3.15E-2</v>
      </c>
      <c r="R34">
        <v>3.04E-2</v>
      </c>
      <c r="S34">
        <v>2.9100000000000001E-2</v>
      </c>
      <c r="T34">
        <v>2.8000000000000001E-2</v>
      </c>
      <c r="U34">
        <v>2.69E-2</v>
      </c>
      <c r="V34">
        <v>2.5700000000000001E-2</v>
      </c>
      <c r="W34">
        <v>2.4500000000000001E-2</v>
      </c>
      <c r="X34">
        <v>2.3300000000000001E-2</v>
      </c>
      <c r="Y34">
        <v>2.2200000000000001E-2</v>
      </c>
      <c r="Z34">
        <v>2.0899999999999998E-2</v>
      </c>
      <c r="AA34">
        <v>1.9599999999999999E-2</v>
      </c>
      <c r="AB34">
        <v>1.83E-2</v>
      </c>
      <c r="AC34">
        <v>1.7000000000000001E-2</v>
      </c>
      <c r="AD34">
        <v>1.5599999999999999E-2</v>
      </c>
      <c r="AE34">
        <v>1.41E-2</v>
      </c>
      <c r="AF34">
        <v>1.2699999999999999E-2</v>
      </c>
      <c r="AG34">
        <v>1.1299999999999999E-2</v>
      </c>
      <c r="AH34">
        <v>9.7999999999999997E-3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 x14ac:dyDescent="0.25">
      <c r="A35">
        <v>48</v>
      </c>
      <c r="B35">
        <v>0.1358</v>
      </c>
      <c r="C35">
        <v>0.11749999999999999</v>
      </c>
      <c r="D35">
        <v>9.9199999999999997E-2</v>
      </c>
      <c r="E35">
        <v>8.09E-2</v>
      </c>
      <c r="F35">
        <v>6.2600000000000003E-2</v>
      </c>
      <c r="G35">
        <v>5.0599999999999999E-2</v>
      </c>
      <c r="H35">
        <v>4.8099999999999997E-2</v>
      </c>
      <c r="I35">
        <v>4.5600000000000002E-2</v>
      </c>
      <c r="J35">
        <v>4.2999999999999997E-2</v>
      </c>
      <c r="K35">
        <v>4.0399999999999998E-2</v>
      </c>
      <c r="L35">
        <v>3.7699999999999997E-2</v>
      </c>
      <c r="M35">
        <v>3.6700000000000003E-2</v>
      </c>
      <c r="N35">
        <v>3.5499999999999997E-2</v>
      </c>
      <c r="O35">
        <v>3.2099999999999997E-2</v>
      </c>
      <c r="P35">
        <v>3.1E-2</v>
      </c>
      <c r="Q35">
        <v>0.03</v>
      </c>
      <c r="R35">
        <v>2.8899999999999999E-2</v>
      </c>
      <c r="S35">
        <v>2.75E-2</v>
      </c>
      <c r="T35">
        <v>2.63E-2</v>
      </c>
      <c r="U35">
        <v>2.53E-2</v>
      </c>
      <c r="V35">
        <v>2.4E-2</v>
      </c>
      <c r="W35">
        <v>2.29E-2</v>
      </c>
      <c r="X35">
        <v>2.1700000000000001E-2</v>
      </c>
      <c r="Y35">
        <v>2.0500000000000001E-2</v>
      </c>
      <c r="Z35">
        <v>1.9199999999999998E-2</v>
      </c>
      <c r="AA35">
        <v>1.7899999999999999E-2</v>
      </c>
      <c r="AB35">
        <v>1.67E-2</v>
      </c>
      <c r="AC35">
        <v>1.5299999999999999E-2</v>
      </c>
      <c r="AD35">
        <v>1.38E-2</v>
      </c>
      <c r="AE35">
        <v>1.2500000000000001E-2</v>
      </c>
      <c r="AF35">
        <v>1.0999999999999999E-2</v>
      </c>
      <c r="AG35">
        <v>9.4999999999999998E-3</v>
      </c>
      <c r="AH35">
        <v>8.0999999999999996E-3</v>
      </c>
      <c r="AI35">
        <v>6.7999999999999996E-3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 x14ac:dyDescent="0.25">
      <c r="A36">
        <v>49</v>
      </c>
      <c r="B36">
        <v>0.13450000000000001</v>
      </c>
      <c r="C36">
        <v>0.11609999999999999</v>
      </c>
      <c r="D36">
        <v>9.7799999999999998E-2</v>
      </c>
      <c r="E36">
        <v>7.9500000000000001E-2</v>
      </c>
      <c r="F36">
        <v>6.1199999999999997E-2</v>
      </c>
      <c r="G36">
        <v>4.9099999999999998E-2</v>
      </c>
      <c r="H36">
        <v>4.65E-2</v>
      </c>
      <c r="I36">
        <v>4.41E-2</v>
      </c>
      <c r="J36">
        <v>4.1399999999999999E-2</v>
      </c>
      <c r="K36">
        <v>3.8899999999999997E-2</v>
      </c>
      <c r="L36">
        <v>3.61E-2</v>
      </c>
      <c r="M36">
        <v>3.5000000000000003E-2</v>
      </c>
      <c r="N36">
        <v>3.3799999999999997E-2</v>
      </c>
      <c r="O36">
        <v>3.0499999999999999E-2</v>
      </c>
      <c r="P36">
        <v>2.9399999999999999E-2</v>
      </c>
      <c r="Q36">
        <v>2.8400000000000002E-2</v>
      </c>
      <c r="R36">
        <v>2.7300000000000001E-2</v>
      </c>
      <c r="S36">
        <v>2.5999999999999999E-2</v>
      </c>
      <c r="T36">
        <v>2.4899999999999999E-2</v>
      </c>
      <c r="U36">
        <v>2.3699999999999999E-2</v>
      </c>
      <c r="V36">
        <v>2.2499999999999999E-2</v>
      </c>
      <c r="W36">
        <v>2.12E-2</v>
      </c>
      <c r="X36">
        <v>0.02</v>
      </c>
      <c r="Y36">
        <v>1.8700000000000001E-2</v>
      </c>
      <c r="Z36">
        <v>1.7399999999999999E-2</v>
      </c>
      <c r="AA36">
        <v>1.6299999999999999E-2</v>
      </c>
      <c r="AB36">
        <v>1.4999999999999999E-2</v>
      </c>
      <c r="AC36">
        <v>1.35E-2</v>
      </c>
      <c r="AD36">
        <v>1.21E-2</v>
      </c>
      <c r="AE36">
        <v>1.0800000000000001E-2</v>
      </c>
      <c r="AF36">
        <v>9.2999999999999992E-3</v>
      </c>
      <c r="AG36">
        <v>7.7999999999999996E-3</v>
      </c>
      <c r="AH36">
        <v>6.4999999999999997E-3</v>
      </c>
      <c r="AI36">
        <v>5.0000000000000001E-3</v>
      </c>
      <c r="AJ36">
        <v>3.5999999999999999E-3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 x14ac:dyDescent="0.25">
      <c r="A37">
        <v>50</v>
      </c>
      <c r="B37">
        <v>0.13320000000000001</v>
      </c>
      <c r="C37">
        <v>0.1147</v>
      </c>
      <c r="D37">
        <v>9.64E-2</v>
      </c>
      <c r="E37">
        <v>7.8100000000000003E-2</v>
      </c>
      <c r="F37">
        <v>5.9799999999999999E-2</v>
      </c>
      <c r="G37">
        <v>1.1599999999999999E-2</v>
      </c>
      <c r="H37">
        <v>1.0699999999999999E-2</v>
      </c>
      <c r="I37">
        <v>9.7000000000000003E-3</v>
      </c>
      <c r="J37">
        <v>8.8000000000000005E-3</v>
      </c>
      <c r="K37">
        <v>8.0000000000000002E-3</v>
      </c>
      <c r="L37">
        <v>7.1000000000000004E-3</v>
      </c>
      <c r="M37">
        <v>6.6E-3</v>
      </c>
      <c r="N37">
        <v>6.1999999999999998E-3</v>
      </c>
      <c r="O37">
        <v>3.8E-3</v>
      </c>
      <c r="P37">
        <v>3.5000000000000001E-3</v>
      </c>
      <c r="Q37">
        <v>3.2000000000000002E-3</v>
      </c>
      <c r="R37">
        <v>3.0000000000000001E-3</v>
      </c>
      <c r="S37">
        <v>2.8E-3</v>
      </c>
      <c r="T37">
        <v>2.5999999999999999E-3</v>
      </c>
      <c r="U37">
        <v>2.3E-3</v>
      </c>
      <c r="V37">
        <v>2.0999999999999999E-3</v>
      </c>
      <c r="W37">
        <v>1.9E-3</v>
      </c>
      <c r="X37">
        <v>1.6999999999999999E-3</v>
      </c>
      <c r="Y37">
        <v>1.5E-3</v>
      </c>
      <c r="Z37">
        <v>1.2999999999999999E-3</v>
      </c>
      <c r="AA37">
        <v>1.1000000000000001E-3</v>
      </c>
      <c r="AB37">
        <v>1E-3</v>
      </c>
      <c r="AC37">
        <v>8.0000000000000004E-4</v>
      </c>
      <c r="AD37">
        <v>6.9999999999999999E-4</v>
      </c>
      <c r="AE37">
        <v>5.9999999999999995E-4</v>
      </c>
      <c r="AF37">
        <v>5.0000000000000001E-4</v>
      </c>
      <c r="AG37">
        <v>4.0000000000000002E-4</v>
      </c>
      <c r="AH37">
        <v>2.9999999999999997E-4</v>
      </c>
      <c r="AI37">
        <v>2.0000000000000001E-4</v>
      </c>
      <c r="AJ37">
        <v>1E-4</v>
      </c>
      <c r="AK37">
        <v>1E-4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 x14ac:dyDescent="0.25">
      <c r="A38">
        <v>51</v>
      </c>
      <c r="B38">
        <v>0.1318</v>
      </c>
      <c r="C38">
        <v>0.1135</v>
      </c>
      <c r="D38">
        <v>9.5000000000000001E-2</v>
      </c>
      <c r="E38">
        <v>7.6700000000000004E-2</v>
      </c>
      <c r="F38">
        <v>5.8400000000000001E-2</v>
      </c>
      <c r="G38">
        <v>1.1299999999999999E-2</v>
      </c>
      <c r="H38">
        <v>1.03E-2</v>
      </c>
      <c r="I38">
        <v>9.4000000000000004E-3</v>
      </c>
      <c r="J38">
        <v>8.5000000000000006E-3</v>
      </c>
      <c r="K38">
        <v>7.6E-3</v>
      </c>
      <c r="L38">
        <v>6.7999999999999996E-3</v>
      </c>
      <c r="M38">
        <v>6.3E-3</v>
      </c>
      <c r="N38">
        <v>5.8999999999999999E-3</v>
      </c>
      <c r="O38">
        <v>3.5999999999999999E-3</v>
      </c>
      <c r="P38">
        <v>3.3E-3</v>
      </c>
      <c r="Q38">
        <v>3.0000000000000001E-3</v>
      </c>
      <c r="R38">
        <v>2.8E-3</v>
      </c>
      <c r="S38">
        <v>2.5999999999999999E-3</v>
      </c>
      <c r="T38">
        <v>2.3999999999999998E-3</v>
      </c>
      <c r="U38">
        <v>2.2000000000000001E-3</v>
      </c>
      <c r="V38">
        <v>1.9E-3</v>
      </c>
      <c r="W38">
        <v>1.6999999999999999E-3</v>
      </c>
      <c r="X38">
        <v>1.5E-3</v>
      </c>
      <c r="Y38">
        <v>1.2999999999999999E-3</v>
      </c>
      <c r="Z38">
        <v>1.1999999999999999E-3</v>
      </c>
      <c r="AA38">
        <v>1E-3</v>
      </c>
      <c r="AB38">
        <v>8.0000000000000004E-4</v>
      </c>
      <c r="AC38">
        <v>6.9999999999999999E-4</v>
      </c>
      <c r="AD38">
        <v>5.9999999999999995E-4</v>
      </c>
      <c r="AE38">
        <v>5.0000000000000001E-4</v>
      </c>
      <c r="AF38">
        <v>4.0000000000000002E-4</v>
      </c>
      <c r="AG38">
        <v>2.9999999999999997E-4</v>
      </c>
      <c r="AH38">
        <v>2.0000000000000001E-4</v>
      </c>
      <c r="AI38">
        <v>1E-4</v>
      </c>
      <c r="AJ38">
        <v>1E-4</v>
      </c>
      <c r="AK38">
        <v>1E-4</v>
      </c>
      <c r="AL38">
        <v>1E-4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 x14ac:dyDescent="0.25">
      <c r="A39">
        <v>52</v>
      </c>
      <c r="B39">
        <v>0.13039999999999999</v>
      </c>
      <c r="C39">
        <v>0.11210000000000001</v>
      </c>
      <c r="D39">
        <v>9.3799999999999994E-2</v>
      </c>
      <c r="E39">
        <v>7.5300000000000006E-2</v>
      </c>
      <c r="F39">
        <v>5.7000000000000002E-2</v>
      </c>
      <c r="G39">
        <v>1.09E-2</v>
      </c>
      <c r="H39">
        <v>9.9000000000000008E-3</v>
      </c>
      <c r="I39">
        <v>8.9999999999999993E-3</v>
      </c>
      <c r="J39">
        <v>8.0999999999999996E-3</v>
      </c>
      <c r="K39">
        <v>7.3000000000000001E-3</v>
      </c>
      <c r="L39">
        <v>6.4999999999999997E-3</v>
      </c>
      <c r="M39">
        <v>6.0000000000000001E-3</v>
      </c>
      <c r="N39">
        <v>5.5999999999999999E-3</v>
      </c>
      <c r="O39">
        <v>3.3999999999999998E-3</v>
      </c>
      <c r="P39">
        <v>3.0999999999999999E-3</v>
      </c>
      <c r="Q39">
        <v>2.8999999999999998E-3</v>
      </c>
      <c r="R39">
        <v>2.5999999999999999E-3</v>
      </c>
      <c r="S39">
        <v>2.5000000000000001E-3</v>
      </c>
      <c r="T39">
        <v>2.2000000000000001E-3</v>
      </c>
      <c r="U39">
        <v>2E-3</v>
      </c>
      <c r="V39">
        <v>1.8E-3</v>
      </c>
      <c r="W39">
        <v>1.6000000000000001E-3</v>
      </c>
      <c r="X39">
        <v>1.4E-3</v>
      </c>
      <c r="Y39">
        <v>1.1999999999999999E-3</v>
      </c>
      <c r="Z39">
        <v>1E-3</v>
      </c>
      <c r="AA39">
        <v>8.9999999999999998E-4</v>
      </c>
      <c r="AB39">
        <v>6.9999999999999999E-4</v>
      </c>
      <c r="AC39">
        <v>5.9999999999999995E-4</v>
      </c>
      <c r="AD39">
        <v>5.0000000000000001E-4</v>
      </c>
      <c r="AE39">
        <v>4.0000000000000002E-4</v>
      </c>
      <c r="AF39">
        <v>2.9999999999999997E-4</v>
      </c>
      <c r="AG39">
        <v>2.0000000000000001E-4</v>
      </c>
      <c r="AH39">
        <v>1E-4</v>
      </c>
      <c r="AI39">
        <v>1E-4</v>
      </c>
      <c r="AJ39">
        <v>1E-4</v>
      </c>
      <c r="AK39">
        <v>1E-4</v>
      </c>
      <c r="AL39">
        <v>1E-4</v>
      </c>
      <c r="AM39">
        <v>1E-4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 x14ac:dyDescent="0.25">
      <c r="A40">
        <v>53</v>
      </c>
      <c r="B40">
        <v>0.129</v>
      </c>
      <c r="C40">
        <v>0.11070000000000001</v>
      </c>
      <c r="D40">
        <v>9.2399999999999996E-2</v>
      </c>
      <c r="E40">
        <v>7.4099999999999999E-2</v>
      </c>
      <c r="F40">
        <v>5.5599999999999997E-2</v>
      </c>
      <c r="G40">
        <v>1.0500000000000001E-2</v>
      </c>
      <c r="H40">
        <v>9.4999999999999998E-3</v>
      </c>
      <c r="I40">
        <v>8.6E-3</v>
      </c>
      <c r="J40">
        <v>7.7000000000000002E-3</v>
      </c>
      <c r="K40">
        <v>6.8999999999999999E-3</v>
      </c>
      <c r="L40">
        <v>6.1999999999999998E-3</v>
      </c>
      <c r="M40">
        <v>5.5999999999999999E-3</v>
      </c>
      <c r="N40">
        <v>5.1999999999999998E-3</v>
      </c>
      <c r="O40">
        <v>3.2000000000000002E-3</v>
      </c>
      <c r="P40">
        <v>2.8999999999999998E-3</v>
      </c>
      <c r="Q40">
        <v>2.7000000000000001E-3</v>
      </c>
      <c r="R40">
        <v>2.3999999999999998E-3</v>
      </c>
      <c r="S40">
        <v>2.3E-3</v>
      </c>
      <c r="T40">
        <v>2E-3</v>
      </c>
      <c r="U40">
        <v>1.8E-3</v>
      </c>
      <c r="V40">
        <v>1.6000000000000001E-3</v>
      </c>
      <c r="W40">
        <v>1.4E-3</v>
      </c>
      <c r="X40">
        <v>1.1999999999999999E-3</v>
      </c>
      <c r="Y40">
        <v>1.1000000000000001E-3</v>
      </c>
      <c r="Z40">
        <v>8.9999999999999998E-4</v>
      </c>
      <c r="AA40">
        <v>6.9999999999999999E-4</v>
      </c>
      <c r="AB40">
        <v>5.9999999999999995E-4</v>
      </c>
      <c r="AC40">
        <v>5.0000000000000001E-4</v>
      </c>
      <c r="AD40">
        <v>4.0000000000000002E-4</v>
      </c>
      <c r="AE40">
        <v>2.9999999999999997E-4</v>
      </c>
      <c r="AF40">
        <v>2.0000000000000001E-4</v>
      </c>
      <c r="AG40">
        <v>1E-4</v>
      </c>
      <c r="AH40">
        <v>1E-4</v>
      </c>
      <c r="AI40">
        <v>1E-4</v>
      </c>
      <c r="AJ40">
        <v>1E-4</v>
      </c>
      <c r="AK40">
        <v>1E-4</v>
      </c>
      <c r="AL40">
        <v>1E-4</v>
      </c>
      <c r="AM40">
        <v>1E-4</v>
      </c>
      <c r="AN40">
        <v>1E-4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 x14ac:dyDescent="0.25">
      <c r="A41">
        <v>54</v>
      </c>
      <c r="B41">
        <v>0.12759999999999999</v>
      </c>
      <c r="C41">
        <v>0.10929999999999999</v>
      </c>
      <c r="D41">
        <v>9.0999999999999998E-2</v>
      </c>
      <c r="E41">
        <v>7.2700000000000001E-2</v>
      </c>
      <c r="F41">
        <v>5.4300000000000001E-2</v>
      </c>
      <c r="G41">
        <v>1.01E-2</v>
      </c>
      <c r="H41">
        <v>9.1999999999999998E-3</v>
      </c>
      <c r="I41">
        <v>8.3000000000000001E-3</v>
      </c>
      <c r="J41">
        <v>7.4000000000000003E-3</v>
      </c>
      <c r="K41">
        <v>6.6E-3</v>
      </c>
      <c r="L41">
        <v>5.7999999999999996E-3</v>
      </c>
      <c r="M41">
        <v>5.3E-3</v>
      </c>
      <c r="N41">
        <v>4.8999999999999998E-3</v>
      </c>
      <c r="O41">
        <v>3.0000000000000001E-3</v>
      </c>
      <c r="P41">
        <v>2.7000000000000001E-3</v>
      </c>
      <c r="Q41">
        <v>2.5000000000000001E-3</v>
      </c>
      <c r="R41">
        <v>2.2000000000000001E-3</v>
      </c>
      <c r="S41">
        <v>2.0999999999999999E-3</v>
      </c>
      <c r="T41">
        <v>1.9E-3</v>
      </c>
      <c r="U41">
        <v>1.6999999999999999E-3</v>
      </c>
      <c r="V41">
        <v>1.4E-3</v>
      </c>
      <c r="W41">
        <v>1.2999999999999999E-3</v>
      </c>
      <c r="X41">
        <v>1.1000000000000001E-3</v>
      </c>
      <c r="Y41">
        <v>8.9999999999999998E-4</v>
      </c>
      <c r="Z41">
        <v>8.0000000000000004E-4</v>
      </c>
      <c r="AA41">
        <v>5.9999999999999995E-4</v>
      </c>
      <c r="AB41">
        <v>5.0000000000000001E-4</v>
      </c>
      <c r="AC41">
        <v>4.0000000000000002E-4</v>
      </c>
      <c r="AD41">
        <v>2.9999999999999997E-4</v>
      </c>
      <c r="AE41">
        <v>2.0000000000000001E-4</v>
      </c>
      <c r="AF41">
        <v>1E-4</v>
      </c>
      <c r="AG41">
        <v>1E-4</v>
      </c>
      <c r="AH41">
        <v>1E-4</v>
      </c>
      <c r="AI41">
        <v>1E-4</v>
      </c>
      <c r="AJ41">
        <v>1E-4</v>
      </c>
      <c r="AK41">
        <v>1E-4</v>
      </c>
      <c r="AL41">
        <v>1E-4</v>
      </c>
      <c r="AM41">
        <v>1E-4</v>
      </c>
      <c r="AN41">
        <v>1E-4</v>
      </c>
      <c r="AO41">
        <v>1E-4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 x14ac:dyDescent="0.25">
      <c r="A42">
        <v>55</v>
      </c>
      <c r="B42">
        <v>0.12620000000000001</v>
      </c>
      <c r="C42">
        <v>0.1079</v>
      </c>
      <c r="D42">
        <v>8.9599999999999999E-2</v>
      </c>
      <c r="E42">
        <v>7.1300000000000002E-2</v>
      </c>
      <c r="F42">
        <v>5.2999999999999999E-2</v>
      </c>
      <c r="G42">
        <v>9.7000000000000003E-3</v>
      </c>
      <c r="H42">
        <v>8.8000000000000005E-3</v>
      </c>
      <c r="I42">
        <v>7.9000000000000008E-3</v>
      </c>
      <c r="J42">
        <v>7.1000000000000004E-3</v>
      </c>
      <c r="K42">
        <v>6.1999999999999998E-3</v>
      </c>
      <c r="L42">
        <v>5.4999999999999997E-3</v>
      </c>
      <c r="M42">
        <v>5.0000000000000001E-3</v>
      </c>
      <c r="N42">
        <v>4.5999999999999999E-3</v>
      </c>
      <c r="O42">
        <v>2.8E-3</v>
      </c>
      <c r="P42">
        <v>2.5000000000000001E-3</v>
      </c>
      <c r="Q42">
        <v>2.3E-3</v>
      </c>
      <c r="R42">
        <v>2.0999999999999999E-3</v>
      </c>
      <c r="S42">
        <v>1.9E-3</v>
      </c>
      <c r="T42">
        <v>1.6999999999999999E-3</v>
      </c>
      <c r="U42">
        <v>1.5E-3</v>
      </c>
      <c r="V42">
        <v>1.2999999999999999E-3</v>
      </c>
      <c r="W42">
        <v>1.1000000000000001E-3</v>
      </c>
      <c r="X42">
        <v>8.9999999999999998E-4</v>
      </c>
      <c r="Y42">
        <v>8.0000000000000004E-4</v>
      </c>
      <c r="Z42">
        <v>5.9999999999999995E-4</v>
      </c>
      <c r="AA42">
        <v>5.0000000000000001E-4</v>
      </c>
      <c r="AB42">
        <v>4.0000000000000002E-4</v>
      </c>
      <c r="AC42">
        <v>2.0000000000000001E-4</v>
      </c>
      <c r="AD42">
        <v>2.0000000000000001E-4</v>
      </c>
      <c r="AE42">
        <v>1E-4</v>
      </c>
      <c r="AF42">
        <v>1E-4</v>
      </c>
      <c r="AG42">
        <v>1E-4</v>
      </c>
      <c r="AH42">
        <v>1E-4</v>
      </c>
      <c r="AI42">
        <v>1E-4</v>
      </c>
      <c r="AJ42">
        <v>1E-4</v>
      </c>
      <c r="AK42">
        <v>1E-4</v>
      </c>
      <c r="AL42">
        <v>1E-4</v>
      </c>
      <c r="AM42">
        <v>1E-4</v>
      </c>
      <c r="AN42">
        <v>1E-4</v>
      </c>
      <c r="AO42">
        <v>1E-4</v>
      </c>
      <c r="AP42">
        <v>1E-4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 x14ac:dyDescent="0.25">
      <c r="A43">
        <v>56</v>
      </c>
      <c r="B43">
        <v>0.1249</v>
      </c>
      <c r="C43">
        <v>0.1065</v>
      </c>
      <c r="D43">
        <v>8.8200000000000001E-2</v>
      </c>
      <c r="E43">
        <v>6.9900000000000004E-2</v>
      </c>
      <c r="F43">
        <v>5.16E-2</v>
      </c>
      <c r="G43">
        <v>9.2999999999999992E-3</v>
      </c>
      <c r="H43">
        <v>8.3999999999999995E-3</v>
      </c>
      <c r="I43">
        <v>7.4999999999999997E-3</v>
      </c>
      <c r="J43">
        <v>6.7000000000000002E-3</v>
      </c>
      <c r="K43">
        <v>5.8999999999999999E-3</v>
      </c>
      <c r="L43">
        <v>5.1000000000000004E-3</v>
      </c>
      <c r="M43">
        <v>4.7000000000000002E-3</v>
      </c>
      <c r="N43">
        <v>4.3E-3</v>
      </c>
      <c r="O43">
        <v>2.5999999999999999E-3</v>
      </c>
      <c r="P43">
        <v>2.3999999999999998E-3</v>
      </c>
      <c r="Q43">
        <v>2.0999999999999999E-3</v>
      </c>
      <c r="R43">
        <v>1.9E-3</v>
      </c>
      <c r="S43">
        <v>1.6999999999999999E-3</v>
      </c>
      <c r="T43">
        <v>1.5E-3</v>
      </c>
      <c r="U43">
        <v>1.2999999999999999E-3</v>
      </c>
      <c r="V43">
        <v>1.1000000000000001E-3</v>
      </c>
      <c r="W43">
        <v>1E-3</v>
      </c>
      <c r="X43">
        <v>8.0000000000000004E-4</v>
      </c>
      <c r="Y43">
        <v>5.9999999999999995E-4</v>
      </c>
      <c r="Z43">
        <v>5.0000000000000001E-4</v>
      </c>
      <c r="AA43">
        <v>4.0000000000000002E-4</v>
      </c>
      <c r="AB43">
        <v>2.0000000000000001E-4</v>
      </c>
      <c r="AC43">
        <v>1E-4</v>
      </c>
      <c r="AD43">
        <v>1E-4</v>
      </c>
      <c r="AE43">
        <v>1E-4</v>
      </c>
      <c r="AF43">
        <v>1E-4</v>
      </c>
      <c r="AG43">
        <v>1E-4</v>
      </c>
      <c r="AH43">
        <v>1E-4</v>
      </c>
      <c r="AI43">
        <v>1E-4</v>
      </c>
      <c r="AJ43">
        <v>1E-4</v>
      </c>
      <c r="AK43">
        <v>1E-4</v>
      </c>
      <c r="AL43">
        <v>1E-4</v>
      </c>
      <c r="AM43">
        <v>1E-4</v>
      </c>
      <c r="AN43">
        <v>1E-4</v>
      </c>
      <c r="AO43">
        <v>1E-4</v>
      </c>
      <c r="AP43">
        <v>1E-4</v>
      </c>
      <c r="AQ43">
        <v>1E-4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 x14ac:dyDescent="0.25">
      <c r="A44">
        <v>57</v>
      </c>
      <c r="B44">
        <v>0.1236</v>
      </c>
      <c r="C44">
        <v>0.1051</v>
      </c>
      <c r="D44">
        <v>8.6800000000000002E-2</v>
      </c>
      <c r="E44">
        <v>6.8500000000000005E-2</v>
      </c>
      <c r="F44">
        <v>5.0200000000000002E-2</v>
      </c>
      <c r="G44">
        <v>8.8999999999999999E-3</v>
      </c>
      <c r="H44">
        <v>8.0000000000000002E-3</v>
      </c>
      <c r="I44">
        <v>7.1999999999999998E-3</v>
      </c>
      <c r="J44">
        <v>6.3E-3</v>
      </c>
      <c r="K44">
        <v>5.5999999999999999E-3</v>
      </c>
      <c r="L44">
        <v>4.7999999999999996E-3</v>
      </c>
      <c r="M44">
        <v>4.4000000000000003E-3</v>
      </c>
      <c r="N44">
        <v>4.0000000000000001E-3</v>
      </c>
      <c r="O44">
        <v>2.3999999999999998E-3</v>
      </c>
      <c r="P44">
        <v>2.2000000000000001E-3</v>
      </c>
      <c r="Q44">
        <v>1.9E-3</v>
      </c>
      <c r="R44">
        <v>1.6999999999999999E-3</v>
      </c>
      <c r="S44">
        <v>1.6000000000000001E-3</v>
      </c>
      <c r="T44">
        <v>1.2999999999999999E-3</v>
      </c>
      <c r="U44">
        <v>1.1999999999999999E-3</v>
      </c>
      <c r="V44">
        <v>1E-3</v>
      </c>
      <c r="W44">
        <v>8.0000000000000004E-4</v>
      </c>
      <c r="X44">
        <v>5.9999999999999995E-4</v>
      </c>
      <c r="Y44">
        <v>5.0000000000000001E-4</v>
      </c>
      <c r="Z44">
        <v>4.0000000000000002E-4</v>
      </c>
      <c r="AA44">
        <v>2.0000000000000001E-4</v>
      </c>
      <c r="AB44">
        <v>1E-4</v>
      </c>
      <c r="AC44">
        <v>1E-4</v>
      </c>
      <c r="AD44">
        <v>1E-4</v>
      </c>
      <c r="AE44">
        <v>1E-4</v>
      </c>
      <c r="AF44">
        <v>1E-4</v>
      </c>
      <c r="AG44">
        <v>1E-4</v>
      </c>
      <c r="AH44">
        <v>1E-4</v>
      </c>
      <c r="AI44">
        <v>1E-4</v>
      </c>
      <c r="AJ44">
        <v>1E-4</v>
      </c>
      <c r="AK44">
        <v>1E-4</v>
      </c>
      <c r="AL44">
        <v>1E-4</v>
      </c>
      <c r="AM44">
        <v>1E-4</v>
      </c>
      <c r="AN44">
        <v>1E-4</v>
      </c>
      <c r="AO44">
        <v>1E-4</v>
      </c>
      <c r="AP44">
        <v>1E-4</v>
      </c>
      <c r="AQ44">
        <v>1E-4</v>
      </c>
      <c r="AR44">
        <v>1E-4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 x14ac:dyDescent="0.25">
      <c r="A45">
        <v>58</v>
      </c>
      <c r="B45">
        <v>0.1222</v>
      </c>
      <c r="C45">
        <v>0.10390000000000001</v>
      </c>
      <c r="D45">
        <v>8.5400000000000004E-2</v>
      </c>
      <c r="E45">
        <v>6.7100000000000007E-2</v>
      </c>
      <c r="F45">
        <v>4.8800000000000003E-2</v>
      </c>
      <c r="G45">
        <v>8.6E-3</v>
      </c>
      <c r="H45">
        <v>7.7000000000000002E-3</v>
      </c>
      <c r="I45">
        <v>6.7999999999999996E-3</v>
      </c>
      <c r="J45">
        <v>6.0000000000000001E-3</v>
      </c>
      <c r="K45">
        <v>5.1999999999999998E-3</v>
      </c>
      <c r="L45">
        <v>4.4000000000000003E-3</v>
      </c>
      <c r="M45">
        <v>4.1000000000000003E-3</v>
      </c>
      <c r="N45">
        <v>3.7000000000000002E-3</v>
      </c>
      <c r="O45">
        <v>2.2000000000000001E-3</v>
      </c>
      <c r="P45">
        <v>2E-3</v>
      </c>
      <c r="Q45">
        <v>1.6999999999999999E-3</v>
      </c>
      <c r="R45">
        <v>1.5E-3</v>
      </c>
      <c r="S45">
        <v>1.4E-3</v>
      </c>
      <c r="T45">
        <v>1.1999999999999999E-3</v>
      </c>
      <c r="U45">
        <v>1E-3</v>
      </c>
      <c r="V45">
        <v>8.0000000000000004E-4</v>
      </c>
      <c r="W45">
        <v>5.9999999999999995E-4</v>
      </c>
      <c r="X45">
        <v>5.0000000000000001E-4</v>
      </c>
      <c r="Y45">
        <v>4.0000000000000002E-4</v>
      </c>
      <c r="Z45">
        <v>2.0000000000000001E-4</v>
      </c>
      <c r="AA45">
        <v>1E-4</v>
      </c>
      <c r="AB45">
        <v>1E-4</v>
      </c>
      <c r="AC45">
        <v>1E-4</v>
      </c>
      <c r="AD45">
        <v>1E-4</v>
      </c>
      <c r="AE45">
        <v>1E-4</v>
      </c>
      <c r="AF45">
        <v>1E-4</v>
      </c>
      <c r="AG45">
        <v>1E-4</v>
      </c>
      <c r="AH45">
        <v>1E-4</v>
      </c>
      <c r="AI45">
        <v>1E-4</v>
      </c>
      <c r="AJ45">
        <v>1E-4</v>
      </c>
      <c r="AK45">
        <v>1E-4</v>
      </c>
      <c r="AL45">
        <v>1E-4</v>
      </c>
      <c r="AM45">
        <v>1E-4</v>
      </c>
      <c r="AN45">
        <v>1E-4</v>
      </c>
      <c r="AO45">
        <v>1E-4</v>
      </c>
      <c r="AP45">
        <v>1E-4</v>
      </c>
      <c r="AQ45">
        <v>1E-4</v>
      </c>
      <c r="AR45">
        <v>1E-4</v>
      </c>
      <c r="AS45">
        <v>1E-4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 x14ac:dyDescent="0.25">
      <c r="A46">
        <v>59</v>
      </c>
      <c r="B46">
        <v>0.1208</v>
      </c>
      <c r="C46">
        <v>0.10249999999999999</v>
      </c>
      <c r="D46">
        <v>8.4099999999999994E-2</v>
      </c>
      <c r="E46">
        <v>6.5699999999999995E-2</v>
      </c>
      <c r="F46">
        <v>4.7399999999999998E-2</v>
      </c>
      <c r="G46">
        <v>8.2000000000000007E-3</v>
      </c>
      <c r="H46">
        <v>7.3000000000000001E-3</v>
      </c>
      <c r="I46">
        <v>6.4999999999999997E-3</v>
      </c>
      <c r="J46">
        <v>5.5999999999999999E-3</v>
      </c>
      <c r="K46">
        <v>4.8999999999999998E-3</v>
      </c>
      <c r="L46">
        <v>4.1000000000000003E-3</v>
      </c>
      <c r="M46">
        <v>3.8E-3</v>
      </c>
      <c r="N46">
        <v>3.3999999999999998E-3</v>
      </c>
      <c r="O46">
        <v>2E-3</v>
      </c>
      <c r="P46">
        <v>1.8E-3</v>
      </c>
      <c r="Q46">
        <v>1.6000000000000001E-3</v>
      </c>
      <c r="R46">
        <v>1.2999999999999999E-3</v>
      </c>
      <c r="S46">
        <v>1.1999999999999999E-3</v>
      </c>
      <c r="T46">
        <v>1E-3</v>
      </c>
      <c r="U46">
        <v>8.0000000000000004E-4</v>
      </c>
      <c r="V46">
        <v>6.9999999999999999E-4</v>
      </c>
      <c r="W46">
        <v>5.0000000000000001E-4</v>
      </c>
      <c r="X46">
        <v>4.0000000000000002E-4</v>
      </c>
      <c r="Y46">
        <v>2.0000000000000001E-4</v>
      </c>
      <c r="Z46">
        <v>1E-4</v>
      </c>
      <c r="AA46">
        <v>1E-4</v>
      </c>
      <c r="AB46">
        <v>1E-4</v>
      </c>
      <c r="AC46">
        <v>1E-4</v>
      </c>
      <c r="AD46">
        <v>1E-4</v>
      </c>
      <c r="AE46">
        <v>1E-4</v>
      </c>
      <c r="AF46">
        <v>1E-4</v>
      </c>
      <c r="AG46">
        <v>1E-4</v>
      </c>
      <c r="AH46">
        <v>1E-4</v>
      </c>
      <c r="AI46">
        <v>1E-4</v>
      </c>
      <c r="AJ46">
        <v>1E-4</v>
      </c>
      <c r="AK46">
        <v>1E-4</v>
      </c>
      <c r="AL46">
        <v>1E-4</v>
      </c>
      <c r="AM46">
        <v>1E-4</v>
      </c>
      <c r="AN46">
        <v>1E-4</v>
      </c>
      <c r="AO46">
        <v>1E-4</v>
      </c>
      <c r="AP46">
        <v>1E-4</v>
      </c>
      <c r="AQ46">
        <v>1E-4</v>
      </c>
      <c r="AR46">
        <v>1E-4</v>
      </c>
      <c r="AS46">
        <v>1E-4</v>
      </c>
      <c r="AT46">
        <v>1E-4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 x14ac:dyDescent="0.25">
      <c r="A47">
        <v>60</v>
      </c>
      <c r="B47">
        <v>0.1208</v>
      </c>
      <c r="C47">
        <v>0.1011</v>
      </c>
      <c r="D47">
        <v>8.2799999999999999E-2</v>
      </c>
      <c r="E47">
        <v>6.4399999999999999E-2</v>
      </c>
      <c r="F47">
        <v>4.5999999999999999E-2</v>
      </c>
      <c r="G47">
        <v>7.7999999999999996E-3</v>
      </c>
      <c r="H47">
        <v>6.8999999999999999E-3</v>
      </c>
      <c r="I47">
        <v>6.1000000000000004E-3</v>
      </c>
      <c r="J47">
        <v>5.3E-3</v>
      </c>
      <c r="K47">
        <v>4.4999999999999997E-3</v>
      </c>
      <c r="L47">
        <v>3.8E-3</v>
      </c>
      <c r="M47">
        <v>3.3999999999999998E-3</v>
      </c>
      <c r="N47">
        <v>3.0000000000000001E-3</v>
      </c>
      <c r="O47">
        <v>1.8E-3</v>
      </c>
      <c r="P47">
        <v>1.6000000000000001E-3</v>
      </c>
      <c r="Q47">
        <v>1.4E-3</v>
      </c>
      <c r="R47">
        <v>1.1999999999999999E-3</v>
      </c>
      <c r="S47">
        <v>1E-3</v>
      </c>
      <c r="T47">
        <v>8.0000000000000004E-4</v>
      </c>
      <c r="U47">
        <v>6.9999999999999999E-4</v>
      </c>
      <c r="V47">
        <v>5.0000000000000001E-4</v>
      </c>
      <c r="W47">
        <v>2.9999999999999997E-4</v>
      </c>
      <c r="X47">
        <v>2.0000000000000001E-4</v>
      </c>
      <c r="Y47">
        <v>1E-4</v>
      </c>
      <c r="Z47">
        <v>1E-4</v>
      </c>
      <c r="AA47">
        <v>1E-4</v>
      </c>
      <c r="AB47">
        <v>1E-4</v>
      </c>
      <c r="AC47">
        <v>1E-4</v>
      </c>
      <c r="AD47">
        <v>1E-4</v>
      </c>
      <c r="AE47">
        <v>1E-4</v>
      </c>
      <c r="AF47">
        <v>1E-4</v>
      </c>
      <c r="AG47">
        <v>1E-4</v>
      </c>
      <c r="AH47">
        <v>1E-4</v>
      </c>
      <c r="AI47">
        <v>1E-4</v>
      </c>
      <c r="AJ47">
        <v>1E-4</v>
      </c>
      <c r="AK47">
        <v>1E-4</v>
      </c>
      <c r="AL47">
        <v>1E-4</v>
      </c>
      <c r="AM47">
        <v>1E-4</v>
      </c>
      <c r="AN47">
        <v>1E-4</v>
      </c>
      <c r="AO47">
        <v>1E-4</v>
      </c>
      <c r="AP47">
        <v>1E-4</v>
      </c>
      <c r="AQ47">
        <v>1E-4</v>
      </c>
      <c r="AR47">
        <v>1E-4</v>
      </c>
      <c r="AS47">
        <v>1E-4</v>
      </c>
      <c r="AT47">
        <v>1E-4</v>
      </c>
      <c r="AU47">
        <v>1E-4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 x14ac:dyDescent="0.25">
      <c r="A48">
        <v>61</v>
      </c>
      <c r="B48">
        <v>0.1208</v>
      </c>
      <c r="C48">
        <v>0.1011</v>
      </c>
      <c r="D48">
        <v>8.14E-2</v>
      </c>
      <c r="E48">
        <v>6.3100000000000003E-2</v>
      </c>
      <c r="F48">
        <v>4.4699999999999997E-2</v>
      </c>
      <c r="G48">
        <v>7.4000000000000003E-3</v>
      </c>
      <c r="H48">
        <v>6.4999999999999997E-3</v>
      </c>
      <c r="I48">
        <v>5.7000000000000002E-3</v>
      </c>
      <c r="J48">
        <v>5.0000000000000001E-3</v>
      </c>
      <c r="K48">
        <v>4.1999999999999997E-3</v>
      </c>
      <c r="L48">
        <v>3.5000000000000001E-3</v>
      </c>
      <c r="M48">
        <v>3.0999999999999999E-3</v>
      </c>
      <c r="N48">
        <v>2.7000000000000001E-3</v>
      </c>
      <c r="O48">
        <v>1.6000000000000001E-3</v>
      </c>
      <c r="P48">
        <v>1.4E-3</v>
      </c>
      <c r="Q48">
        <v>1.1999999999999999E-3</v>
      </c>
      <c r="R48">
        <v>1E-3</v>
      </c>
      <c r="S48">
        <v>8.0000000000000004E-4</v>
      </c>
      <c r="T48">
        <v>6.9999999999999999E-4</v>
      </c>
      <c r="U48">
        <v>5.0000000000000001E-4</v>
      </c>
      <c r="V48">
        <v>2.9999999999999997E-4</v>
      </c>
      <c r="W48">
        <v>2.0000000000000001E-4</v>
      </c>
      <c r="X48">
        <v>1E-4</v>
      </c>
      <c r="Y48">
        <v>1E-4</v>
      </c>
      <c r="Z48">
        <v>1E-4</v>
      </c>
      <c r="AA48">
        <v>1E-4</v>
      </c>
      <c r="AB48">
        <v>1E-4</v>
      </c>
      <c r="AC48">
        <v>1E-4</v>
      </c>
      <c r="AD48">
        <v>1E-4</v>
      </c>
      <c r="AE48">
        <v>1E-4</v>
      </c>
      <c r="AF48">
        <v>1E-4</v>
      </c>
      <c r="AG48">
        <v>1E-4</v>
      </c>
      <c r="AH48">
        <v>1E-4</v>
      </c>
      <c r="AI48">
        <v>1E-4</v>
      </c>
      <c r="AJ48">
        <v>1E-4</v>
      </c>
      <c r="AK48">
        <v>1E-4</v>
      </c>
      <c r="AL48">
        <v>1E-4</v>
      </c>
      <c r="AM48">
        <v>1E-4</v>
      </c>
      <c r="AN48">
        <v>1E-4</v>
      </c>
      <c r="AO48">
        <v>1E-4</v>
      </c>
      <c r="AP48">
        <v>1E-4</v>
      </c>
      <c r="AQ48">
        <v>1E-4</v>
      </c>
      <c r="AR48">
        <v>1E-4</v>
      </c>
      <c r="AS48">
        <v>1E-4</v>
      </c>
      <c r="AT48">
        <v>1E-4</v>
      </c>
      <c r="AU48">
        <v>1E-4</v>
      </c>
      <c r="AV48">
        <v>1E-4</v>
      </c>
      <c r="AW48">
        <v>0</v>
      </c>
      <c r="AX48">
        <v>0</v>
      </c>
      <c r="AY48">
        <v>0</v>
      </c>
      <c r="AZ48">
        <v>0</v>
      </c>
    </row>
    <row r="49" spans="1:52" x14ac:dyDescent="0.25">
      <c r="A49">
        <v>62</v>
      </c>
      <c r="B49">
        <v>0.1208</v>
      </c>
      <c r="C49">
        <v>0.1011</v>
      </c>
      <c r="D49">
        <v>8.14E-2</v>
      </c>
      <c r="E49">
        <v>6.1699999999999998E-2</v>
      </c>
      <c r="F49">
        <v>4.3400000000000001E-2</v>
      </c>
      <c r="G49">
        <v>7.0000000000000001E-3</v>
      </c>
      <c r="H49">
        <v>6.1999999999999998E-3</v>
      </c>
      <c r="I49">
        <v>5.3E-3</v>
      </c>
      <c r="J49">
        <v>4.5999999999999999E-3</v>
      </c>
      <c r="K49">
        <v>3.8E-3</v>
      </c>
      <c r="L49">
        <v>3.2000000000000002E-3</v>
      </c>
      <c r="M49">
        <v>2.8E-3</v>
      </c>
      <c r="N49">
        <v>2.3999999999999998E-3</v>
      </c>
      <c r="O49">
        <v>1.4E-3</v>
      </c>
      <c r="P49">
        <v>1.1999999999999999E-3</v>
      </c>
      <c r="Q49">
        <v>1E-3</v>
      </c>
      <c r="R49">
        <v>8.0000000000000004E-4</v>
      </c>
      <c r="S49">
        <v>6.9999999999999999E-4</v>
      </c>
      <c r="T49">
        <v>5.0000000000000001E-4</v>
      </c>
      <c r="U49">
        <v>2.9999999999999997E-4</v>
      </c>
      <c r="V49">
        <v>2.0000000000000001E-4</v>
      </c>
      <c r="W49">
        <v>1E-4</v>
      </c>
      <c r="X49">
        <v>1E-4</v>
      </c>
      <c r="Y49">
        <v>1E-4</v>
      </c>
      <c r="Z49">
        <v>1E-4</v>
      </c>
      <c r="AA49">
        <v>1E-4</v>
      </c>
      <c r="AB49">
        <v>1E-4</v>
      </c>
      <c r="AC49">
        <v>1E-4</v>
      </c>
      <c r="AD49">
        <v>1E-4</v>
      </c>
      <c r="AE49">
        <v>1E-4</v>
      </c>
      <c r="AF49">
        <v>1E-4</v>
      </c>
      <c r="AG49">
        <v>1E-4</v>
      </c>
      <c r="AH49">
        <v>1E-4</v>
      </c>
      <c r="AI49">
        <v>1E-4</v>
      </c>
      <c r="AJ49">
        <v>1E-4</v>
      </c>
      <c r="AK49">
        <v>1E-4</v>
      </c>
      <c r="AL49">
        <v>1E-4</v>
      </c>
      <c r="AM49">
        <v>1E-4</v>
      </c>
      <c r="AN49">
        <v>1E-4</v>
      </c>
      <c r="AO49">
        <v>1E-4</v>
      </c>
      <c r="AP49">
        <v>1E-4</v>
      </c>
      <c r="AQ49">
        <v>1E-4</v>
      </c>
      <c r="AR49">
        <v>1E-4</v>
      </c>
      <c r="AS49">
        <v>1E-4</v>
      </c>
      <c r="AT49">
        <v>1E-4</v>
      </c>
      <c r="AU49">
        <v>1E-4</v>
      </c>
      <c r="AV49">
        <v>1E-4</v>
      </c>
      <c r="AW49">
        <v>1E-4</v>
      </c>
      <c r="AX49">
        <v>0</v>
      </c>
      <c r="AY49">
        <v>0</v>
      </c>
      <c r="AZ49">
        <v>0</v>
      </c>
    </row>
    <row r="50" spans="1:52" x14ac:dyDescent="0.25">
      <c r="A50">
        <v>63</v>
      </c>
      <c r="B50">
        <v>0.1208</v>
      </c>
      <c r="C50">
        <v>0.1011</v>
      </c>
      <c r="D50">
        <v>8.14E-2</v>
      </c>
      <c r="E50">
        <v>6.1699999999999998E-2</v>
      </c>
      <c r="F50">
        <v>4.2000000000000003E-2</v>
      </c>
      <c r="G50">
        <v>6.6E-3</v>
      </c>
      <c r="H50">
        <v>5.7999999999999996E-3</v>
      </c>
      <c r="I50">
        <v>5.0000000000000001E-3</v>
      </c>
      <c r="J50">
        <v>4.1999999999999997E-3</v>
      </c>
      <c r="K50">
        <v>3.5000000000000001E-3</v>
      </c>
      <c r="L50">
        <v>2.8E-3</v>
      </c>
      <c r="M50">
        <v>2.3999999999999998E-3</v>
      </c>
      <c r="N50">
        <v>2.0999999999999999E-3</v>
      </c>
      <c r="O50">
        <v>1.1999999999999999E-3</v>
      </c>
      <c r="P50">
        <v>1E-3</v>
      </c>
      <c r="Q50">
        <v>8.0000000000000004E-4</v>
      </c>
      <c r="R50">
        <v>5.9999999999999995E-4</v>
      </c>
      <c r="S50">
        <v>5.0000000000000001E-4</v>
      </c>
      <c r="T50">
        <v>2.9999999999999997E-4</v>
      </c>
      <c r="U50">
        <v>2.0000000000000001E-4</v>
      </c>
      <c r="V50">
        <v>1E-4</v>
      </c>
      <c r="W50">
        <v>1E-4</v>
      </c>
      <c r="X50">
        <v>1E-4</v>
      </c>
      <c r="Y50">
        <v>1E-4</v>
      </c>
      <c r="Z50">
        <v>1E-4</v>
      </c>
      <c r="AA50">
        <v>1E-4</v>
      </c>
      <c r="AB50">
        <v>1E-4</v>
      </c>
      <c r="AC50">
        <v>1E-4</v>
      </c>
      <c r="AD50">
        <v>1E-4</v>
      </c>
      <c r="AE50">
        <v>1E-4</v>
      </c>
      <c r="AF50">
        <v>1E-4</v>
      </c>
      <c r="AG50">
        <v>1E-4</v>
      </c>
      <c r="AH50">
        <v>1E-4</v>
      </c>
      <c r="AI50">
        <v>1E-4</v>
      </c>
      <c r="AJ50">
        <v>1E-4</v>
      </c>
      <c r="AK50">
        <v>1E-4</v>
      </c>
      <c r="AL50">
        <v>1E-4</v>
      </c>
      <c r="AM50">
        <v>1E-4</v>
      </c>
      <c r="AN50">
        <v>1E-4</v>
      </c>
      <c r="AO50">
        <v>1E-4</v>
      </c>
      <c r="AP50">
        <v>1E-4</v>
      </c>
      <c r="AQ50">
        <v>1E-4</v>
      </c>
      <c r="AR50">
        <v>1E-4</v>
      </c>
      <c r="AS50">
        <v>1E-4</v>
      </c>
      <c r="AT50">
        <v>1E-4</v>
      </c>
      <c r="AU50">
        <v>1E-4</v>
      </c>
      <c r="AV50">
        <v>1E-4</v>
      </c>
      <c r="AW50">
        <v>1E-4</v>
      </c>
      <c r="AX50">
        <v>1E-4</v>
      </c>
      <c r="AY50">
        <v>0</v>
      </c>
      <c r="AZ50">
        <v>0</v>
      </c>
    </row>
    <row r="51" spans="1:52" x14ac:dyDescent="0.25">
      <c r="A51">
        <v>64</v>
      </c>
      <c r="B51">
        <v>0.1208</v>
      </c>
      <c r="C51">
        <v>0.1011</v>
      </c>
      <c r="D51">
        <v>8.14E-2</v>
      </c>
      <c r="E51">
        <v>6.1699999999999998E-2</v>
      </c>
      <c r="F51">
        <v>4.2000000000000003E-2</v>
      </c>
      <c r="G51">
        <v>6.1999999999999998E-3</v>
      </c>
      <c r="H51">
        <v>5.4000000000000003E-3</v>
      </c>
      <c r="I51">
        <v>4.7000000000000002E-3</v>
      </c>
      <c r="J51">
        <v>3.8E-3</v>
      </c>
      <c r="K51">
        <v>3.2000000000000002E-3</v>
      </c>
      <c r="L51">
        <v>2.5000000000000001E-3</v>
      </c>
      <c r="M51">
        <v>2.0999999999999999E-3</v>
      </c>
      <c r="N51">
        <v>1.8E-3</v>
      </c>
      <c r="O51">
        <v>1E-3</v>
      </c>
      <c r="P51">
        <v>8.0000000000000004E-4</v>
      </c>
      <c r="Q51">
        <v>5.9999999999999995E-4</v>
      </c>
      <c r="R51">
        <v>4.0000000000000002E-4</v>
      </c>
      <c r="S51">
        <v>2.9999999999999997E-4</v>
      </c>
      <c r="T51">
        <v>2.0000000000000001E-4</v>
      </c>
      <c r="U51">
        <v>1E-4</v>
      </c>
      <c r="V51">
        <v>1E-4</v>
      </c>
      <c r="W51">
        <v>1E-4</v>
      </c>
      <c r="X51">
        <v>1E-4</v>
      </c>
      <c r="Y51">
        <v>1E-4</v>
      </c>
      <c r="Z51">
        <v>1E-4</v>
      </c>
      <c r="AA51">
        <v>1E-4</v>
      </c>
      <c r="AB51">
        <v>1E-4</v>
      </c>
      <c r="AC51">
        <v>1E-4</v>
      </c>
      <c r="AD51">
        <v>1E-4</v>
      </c>
      <c r="AE51">
        <v>1E-4</v>
      </c>
      <c r="AF51">
        <v>1E-4</v>
      </c>
      <c r="AG51">
        <v>1E-4</v>
      </c>
      <c r="AH51">
        <v>1E-4</v>
      </c>
      <c r="AI51">
        <v>1E-4</v>
      </c>
      <c r="AJ51">
        <v>1E-4</v>
      </c>
      <c r="AK51">
        <v>1E-4</v>
      </c>
      <c r="AL51">
        <v>1E-4</v>
      </c>
      <c r="AM51">
        <v>1E-4</v>
      </c>
      <c r="AN51">
        <v>1E-4</v>
      </c>
      <c r="AO51">
        <v>1E-4</v>
      </c>
      <c r="AP51">
        <v>1E-4</v>
      </c>
      <c r="AQ51">
        <v>1E-4</v>
      </c>
      <c r="AR51">
        <v>1E-4</v>
      </c>
      <c r="AS51">
        <v>1E-4</v>
      </c>
      <c r="AT51">
        <v>1E-4</v>
      </c>
      <c r="AU51">
        <v>1E-4</v>
      </c>
      <c r="AV51">
        <v>1E-4</v>
      </c>
      <c r="AW51">
        <v>1E-4</v>
      </c>
      <c r="AX51">
        <v>1E-4</v>
      </c>
      <c r="AY51">
        <v>1E-4</v>
      </c>
      <c r="AZ51">
        <v>0</v>
      </c>
    </row>
    <row r="52" spans="1:52" x14ac:dyDescent="0.25">
      <c r="A52">
        <v>65</v>
      </c>
      <c r="B52">
        <v>0.1208</v>
      </c>
      <c r="C52">
        <v>0.1011</v>
      </c>
      <c r="D52">
        <v>8.14E-2</v>
      </c>
      <c r="E52">
        <v>6.1699999999999998E-2</v>
      </c>
      <c r="F52">
        <v>4.2000000000000003E-2</v>
      </c>
      <c r="G52">
        <v>6.1999999999999998E-3</v>
      </c>
      <c r="H52">
        <v>5.0000000000000001E-3</v>
      </c>
      <c r="I52">
        <v>4.3E-3</v>
      </c>
      <c r="J52">
        <v>3.5000000000000001E-3</v>
      </c>
      <c r="K52">
        <v>2.8E-3</v>
      </c>
      <c r="L52">
        <v>2.0999999999999999E-3</v>
      </c>
      <c r="M52">
        <v>1.8E-3</v>
      </c>
      <c r="N52">
        <v>1.5E-3</v>
      </c>
      <c r="O52">
        <v>8.0000000000000004E-4</v>
      </c>
      <c r="P52">
        <v>5.9999999999999995E-4</v>
      </c>
      <c r="Q52">
        <v>4.0000000000000002E-4</v>
      </c>
      <c r="R52">
        <v>2.9999999999999997E-4</v>
      </c>
      <c r="S52">
        <v>2.0000000000000001E-4</v>
      </c>
      <c r="T52">
        <v>2.0000000000000001E-4</v>
      </c>
      <c r="U52">
        <v>1E-4</v>
      </c>
      <c r="V52">
        <v>1E-4</v>
      </c>
      <c r="W52">
        <v>1E-4</v>
      </c>
      <c r="X52">
        <v>1E-4</v>
      </c>
      <c r="Y52">
        <v>1E-4</v>
      </c>
      <c r="Z52">
        <v>1E-4</v>
      </c>
      <c r="AA52">
        <v>1E-4</v>
      </c>
      <c r="AB52">
        <v>1E-4</v>
      </c>
      <c r="AC52">
        <v>1E-4</v>
      </c>
      <c r="AD52">
        <v>1E-4</v>
      </c>
      <c r="AE52">
        <v>1E-4</v>
      </c>
      <c r="AF52">
        <v>1E-4</v>
      </c>
      <c r="AG52">
        <v>1E-4</v>
      </c>
      <c r="AH52">
        <v>1E-4</v>
      </c>
      <c r="AI52">
        <v>1E-4</v>
      </c>
      <c r="AJ52">
        <v>1E-4</v>
      </c>
      <c r="AK52">
        <v>1E-4</v>
      </c>
      <c r="AL52">
        <v>1E-4</v>
      </c>
      <c r="AM52">
        <v>1E-4</v>
      </c>
      <c r="AN52">
        <v>1E-4</v>
      </c>
      <c r="AO52">
        <v>1E-4</v>
      </c>
      <c r="AP52">
        <v>1E-4</v>
      </c>
      <c r="AQ52">
        <v>1E-4</v>
      </c>
      <c r="AR52">
        <v>1E-4</v>
      </c>
      <c r="AS52">
        <v>1E-4</v>
      </c>
      <c r="AT52">
        <v>1E-4</v>
      </c>
      <c r="AU52">
        <v>1E-4</v>
      </c>
      <c r="AV52">
        <v>1E-4</v>
      </c>
      <c r="AW52">
        <v>1E-4</v>
      </c>
      <c r="AX52">
        <v>1E-4</v>
      </c>
      <c r="AY52">
        <v>1E-4</v>
      </c>
      <c r="AZ52">
        <v>1E-4</v>
      </c>
    </row>
    <row r="53" spans="1:52" x14ac:dyDescent="0.25">
      <c r="A53">
        <v>66</v>
      </c>
      <c r="B53">
        <v>0.1208</v>
      </c>
      <c r="C53">
        <v>0.1011</v>
      </c>
      <c r="D53">
        <v>8.14E-2</v>
      </c>
      <c r="E53">
        <v>6.1699999999999998E-2</v>
      </c>
      <c r="F53">
        <v>4.2000000000000003E-2</v>
      </c>
      <c r="G53">
        <v>6.1999999999999998E-3</v>
      </c>
      <c r="H53">
        <v>5.0000000000000001E-3</v>
      </c>
      <c r="I53">
        <v>3.8999999999999998E-3</v>
      </c>
      <c r="J53">
        <v>3.2000000000000002E-3</v>
      </c>
      <c r="K53">
        <v>2.5000000000000001E-3</v>
      </c>
      <c r="L53">
        <v>1.8E-3</v>
      </c>
      <c r="M53">
        <v>1.5E-3</v>
      </c>
      <c r="N53">
        <v>1.1000000000000001E-3</v>
      </c>
      <c r="O53">
        <v>5.9999999999999995E-4</v>
      </c>
      <c r="P53">
        <v>4.0000000000000002E-4</v>
      </c>
      <c r="Q53">
        <v>2.0000000000000001E-4</v>
      </c>
      <c r="R53">
        <v>2.0000000000000001E-4</v>
      </c>
      <c r="S53">
        <v>2.0000000000000001E-4</v>
      </c>
      <c r="T53">
        <v>2.0000000000000001E-4</v>
      </c>
      <c r="U53">
        <v>1E-4</v>
      </c>
      <c r="V53">
        <v>1E-4</v>
      </c>
      <c r="W53">
        <v>1E-4</v>
      </c>
      <c r="X53">
        <v>1E-4</v>
      </c>
      <c r="Y53">
        <v>1E-4</v>
      </c>
      <c r="Z53">
        <v>1E-4</v>
      </c>
      <c r="AA53">
        <v>1E-4</v>
      </c>
      <c r="AB53">
        <v>1E-4</v>
      </c>
      <c r="AC53">
        <v>1E-4</v>
      </c>
      <c r="AD53">
        <v>1E-4</v>
      </c>
      <c r="AE53">
        <v>1E-4</v>
      </c>
      <c r="AF53">
        <v>1E-4</v>
      </c>
      <c r="AG53">
        <v>1E-4</v>
      </c>
      <c r="AH53">
        <v>1E-4</v>
      </c>
      <c r="AI53">
        <v>1E-4</v>
      </c>
      <c r="AJ53">
        <v>1E-4</v>
      </c>
      <c r="AK53">
        <v>1E-4</v>
      </c>
      <c r="AL53">
        <v>1E-4</v>
      </c>
      <c r="AM53">
        <v>1E-4</v>
      </c>
      <c r="AN53">
        <v>1E-4</v>
      </c>
      <c r="AO53">
        <v>1E-4</v>
      </c>
      <c r="AP53">
        <v>1E-4</v>
      </c>
      <c r="AQ53">
        <v>1E-4</v>
      </c>
      <c r="AR53">
        <v>1E-4</v>
      </c>
      <c r="AS53">
        <v>1E-4</v>
      </c>
      <c r="AT53">
        <v>1E-4</v>
      </c>
      <c r="AU53">
        <v>1E-4</v>
      </c>
      <c r="AV53">
        <v>1E-4</v>
      </c>
      <c r="AW53">
        <v>1E-4</v>
      </c>
      <c r="AX53">
        <v>1E-4</v>
      </c>
      <c r="AY53">
        <v>1E-4</v>
      </c>
      <c r="AZ53">
        <v>1E-4</v>
      </c>
    </row>
    <row r="54" spans="1:52" x14ac:dyDescent="0.25">
      <c r="A54">
        <v>67</v>
      </c>
      <c r="B54">
        <v>0.1208</v>
      </c>
      <c r="C54">
        <v>0.1011</v>
      </c>
      <c r="D54">
        <v>8.14E-2</v>
      </c>
      <c r="E54">
        <v>6.1699999999999998E-2</v>
      </c>
      <c r="F54">
        <v>4.2000000000000003E-2</v>
      </c>
      <c r="G54">
        <v>6.1999999999999998E-3</v>
      </c>
      <c r="H54">
        <v>5.0000000000000001E-3</v>
      </c>
      <c r="I54">
        <v>3.8999999999999998E-3</v>
      </c>
      <c r="J54">
        <v>2.8E-3</v>
      </c>
      <c r="K54">
        <v>2.0999999999999999E-3</v>
      </c>
      <c r="L54">
        <v>1.5E-3</v>
      </c>
      <c r="M54">
        <v>1.1000000000000001E-3</v>
      </c>
      <c r="N54">
        <v>8.0000000000000004E-4</v>
      </c>
      <c r="O54">
        <v>4.0000000000000002E-4</v>
      </c>
      <c r="P54">
        <v>2.0000000000000001E-4</v>
      </c>
      <c r="Q54">
        <v>2.0000000000000001E-4</v>
      </c>
      <c r="R54">
        <v>2.0000000000000001E-4</v>
      </c>
      <c r="S54">
        <v>2.0000000000000001E-4</v>
      </c>
      <c r="T54">
        <v>2.0000000000000001E-4</v>
      </c>
      <c r="U54">
        <v>1E-4</v>
      </c>
      <c r="V54">
        <v>1E-4</v>
      </c>
      <c r="W54">
        <v>1E-4</v>
      </c>
      <c r="X54">
        <v>1E-4</v>
      </c>
      <c r="Y54">
        <v>1E-4</v>
      </c>
      <c r="Z54">
        <v>1E-4</v>
      </c>
      <c r="AA54">
        <v>1E-4</v>
      </c>
      <c r="AB54">
        <v>1E-4</v>
      </c>
      <c r="AC54">
        <v>1E-4</v>
      </c>
      <c r="AD54">
        <v>1E-4</v>
      </c>
      <c r="AE54">
        <v>1E-4</v>
      </c>
      <c r="AF54">
        <v>1E-4</v>
      </c>
      <c r="AG54">
        <v>1E-4</v>
      </c>
      <c r="AH54">
        <v>1E-4</v>
      </c>
      <c r="AI54">
        <v>1E-4</v>
      </c>
      <c r="AJ54">
        <v>1E-4</v>
      </c>
      <c r="AK54">
        <v>1E-4</v>
      </c>
      <c r="AL54">
        <v>1E-4</v>
      </c>
      <c r="AM54">
        <v>1E-4</v>
      </c>
      <c r="AN54">
        <v>1E-4</v>
      </c>
      <c r="AO54">
        <v>1E-4</v>
      </c>
      <c r="AP54">
        <v>1E-4</v>
      </c>
      <c r="AQ54">
        <v>1E-4</v>
      </c>
      <c r="AR54">
        <v>1E-4</v>
      </c>
      <c r="AS54">
        <v>1E-4</v>
      </c>
      <c r="AT54">
        <v>1E-4</v>
      </c>
      <c r="AU54">
        <v>1E-4</v>
      </c>
      <c r="AV54">
        <v>1E-4</v>
      </c>
      <c r="AW54">
        <v>1E-4</v>
      </c>
      <c r="AX54">
        <v>1E-4</v>
      </c>
      <c r="AY54">
        <v>1E-4</v>
      </c>
      <c r="AZ54">
        <v>1E-4</v>
      </c>
    </row>
    <row r="55" spans="1:52" x14ac:dyDescent="0.25">
      <c r="A55">
        <v>68</v>
      </c>
      <c r="B55">
        <v>0.1208</v>
      </c>
      <c r="C55">
        <v>0.1011</v>
      </c>
      <c r="D55">
        <v>8.14E-2</v>
      </c>
      <c r="E55">
        <v>6.1699999999999998E-2</v>
      </c>
      <c r="F55">
        <v>4.2000000000000003E-2</v>
      </c>
      <c r="G55">
        <v>6.1999999999999998E-3</v>
      </c>
      <c r="H55">
        <v>5.0000000000000001E-3</v>
      </c>
      <c r="I55">
        <v>3.8999999999999998E-3</v>
      </c>
      <c r="J55">
        <v>2.8E-3</v>
      </c>
      <c r="K55">
        <v>1.8E-3</v>
      </c>
      <c r="L55">
        <v>1.1000000000000001E-3</v>
      </c>
      <c r="M55">
        <v>8.0000000000000004E-4</v>
      </c>
      <c r="N55">
        <v>5.0000000000000001E-4</v>
      </c>
      <c r="O55">
        <v>2.0000000000000001E-4</v>
      </c>
      <c r="P55">
        <v>2.0000000000000001E-4</v>
      </c>
      <c r="Q55">
        <v>2.0000000000000001E-4</v>
      </c>
      <c r="R55">
        <v>2.0000000000000001E-4</v>
      </c>
      <c r="S55">
        <v>2.0000000000000001E-4</v>
      </c>
      <c r="T55">
        <v>2.0000000000000001E-4</v>
      </c>
      <c r="U55">
        <v>1E-4</v>
      </c>
      <c r="V55">
        <v>1E-4</v>
      </c>
      <c r="W55">
        <v>1E-4</v>
      </c>
      <c r="X55">
        <v>1E-4</v>
      </c>
      <c r="Y55">
        <v>1E-4</v>
      </c>
      <c r="Z55">
        <v>1E-4</v>
      </c>
      <c r="AA55">
        <v>1E-4</v>
      </c>
      <c r="AB55">
        <v>1E-4</v>
      </c>
      <c r="AC55">
        <v>1E-4</v>
      </c>
      <c r="AD55">
        <v>1E-4</v>
      </c>
      <c r="AE55">
        <v>1E-4</v>
      </c>
      <c r="AF55">
        <v>1E-4</v>
      </c>
      <c r="AG55">
        <v>1E-4</v>
      </c>
      <c r="AH55">
        <v>1E-4</v>
      </c>
      <c r="AI55">
        <v>1E-4</v>
      </c>
      <c r="AJ55">
        <v>1E-4</v>
      </c>
      <c r="AK55">
        <v>1E-4</v>
      </c>
      <c r="AL55">
        <v>1E-4</v>
      </c>
      <c r="AM55">
        <v>1E-4</v>
      </c>
      <c r="AN55">
        <v>1E-4</v>
      </c>
      <c r="AO55">
        <v>1E-4</v>
      </c>
      <c r="AP55">
        <v>1E-4</v>
      </c>
      <c r="AQ55">
        <v>1E-4</v>
      </c>
      <c r="AR55">
        <v>1E-4</v>
      </c>
      <c r="AS55">
        <v>1E-4</v>
      </c>
      <c r="AT55">
        <v>1E-4</v>
      </c>
      <c r="AU55">
        <v>1E-4</v>
      </c>
      <c r="AV55">
        <v>1E-4</v>
      </c>
      <c r="AW55">
        <v>1E-4</v>
      </c>
      <c r="AX55">
        <v>1E-4</v>
      </c>
      <c r="AY55">
        <v>1E-4</v>
      </c>
      <c r="AZ55">
        <v>1E-4</v>
      </c>
    </row>
    <row r="56" spans="1:52" x14ac:dyDescent="0.25">
      <c r="A56">
        <v>69</v>
      </c>
      <c r="B56">
        <v>0.1208</v>
      </c>
      <c r="C56">
        <v>0.1011</v>
      </c>
      <c r="D56">
        <v>8.14E-2</v>
      </c>
      <c r="E56">
        <v>6.1699999999999998E-2</v>
      </c>
      <c r="F56">
        <v>4.2000000000000003E-2</v>
      </c>
      <c r="G56">
        <v>6.1999999999999998E-3</v>
      </c>
      <c r="H56">
        <v>5.0000000000000001E-3</v>
      </c>
      <c r="I56">
        <v>3.8999999999999998E-3</v>
      </c>
      <c r="J56">
        <v>2.8E-3</v>
      </c>
      <c r="K56">
        <v>1.8E-3</v>
      </c>
      <c r="L56">
        <v>8.0000000000000004E-4</v>
      </c>
      <c r="M56">
        <v>5.0000000000000001E-4</v>
      </c>
      <c r="N56">
        <v>2.0000000000000001E-4</v>
      </c>
      <c r="O56">
        <v>2.0000000000000001E-4</v>
      </c>
      <c r="P56">
        <v>2.0000000000000001E-4</v>
      </c>
      <c r="Q56">
        <v>2.0000000000000001E-4</v>
      </c>
      <c r="R56">
        <v>2.0000000000000001E-4</v>
      </c>
      <c r="S56">
        <v>2.0000000000000001E-4</v>
      </c>
      <c r="T56">
        <v>2.0000000000000001E-4</v>
      </c>
      <c r="U56">
        <v>1E-4</v>
      </c>
      <c r="V56">
        <v>1E-4</v>
      </c>
      <c r="W56">
        <v>1E-4</v>
      </c>
      <c r="X56">
        <v>1E-4</v>
      </c>
      <c r="Y56">
        <v>1E-4</v>
      </c>
      <c r="Z56">
        <v>1E-4</v>
      </c>
      <c r="AA56">
        <v>1E-4</v>
      </c>
      <c r="AB56">
        <v>1E-4</v>
      </c>
      <c r="AC56">
        <v>1E-4</v>
      </c>
      <c r="AD56">
        <v>1E-4</v>
      </c>
      <c r="AE56">
        <v>1E-4</v>
      </c>
      <c r="AF56">
        <v>1E-4</v>
      </c>
      <c r="AG56">
        <v>1E-4</v>
      </c>
      <c r="AH56">
        <v>1E-4</v>
      </c>
      <c r="AI56">
        <v>1E-4</v>
      </c>
      <c r="AJ56">
        <v>1E-4</v>
      </c>
      <c r="AK56">
        <v>1E-4</v>
      </c>
      <c r="AL56">
        <v>1E-4</v>
      </c>
      <c r="AM56">
        <v>1E-4</v>
      </c>
      <c r="AN56">
        <v>1E-4</v>
      </c>
      <c r="AO56">
        <v>1E-4</v>
      </c>
      <c r="AP56">
        <v>1E-4</v>
      </c>
      <c r="AQ56">
        <v>1E-4</v>
      </c>
      <c r="AR56">
        <v>1E-4</v>
      </c>
      <c r="AS56">
        <v>1E-4</v>
      </c>
      <c r="AT56">
        <v>1E-4</v>
      </c>
      <c r="AU56">
        <v>1E-4</v>
      </c>
      <c r="AV56">
        <v>1E-4</v>
      </c>
      <c r="AW56">
        <v>1E-4</v>
      </c>
      <c r="AX56">
        <v>1E-4</v>
      </c>
      <c r="AY56">
        <v>1E-4</v>
      </c>
      <c r="AZ56">
        <v>1E-4</v>
      </c>
    </row>
    <row r="57" spans="1:52" x14ac:dyDescent="0.25">
      <c r="A57">
        <v>70</v>
      </c>
      <c r="B57">
        <v>0.1208</v>
      </c>
      <c r="C57">
        <v>0.1011</v>
      </c>
      <c r="D57">
        <v>8.14E-2</v>
      </c>
      <c r="E57">
        <v>6.1699999999999998E-2</v>
      </c>
      <c r="F57">
        <v>4.2000000000000003E-2</v>
      </c>
      <c r="G57">
        <v>6.1999999999999998E-3</v>
      </c>
      <c r="H57">
        <v>5.0000000000000001E-3</v>
      </c>
      <c r="I57">
        <v>3.8999999999999998E-3</v>
      </c>
      <c r="J57">
        <v>2.8E-3</v>
      </c>
      <c r="K57">
        <v>1.8E-3</v>
      </c>
      <c r="L57">
        <v>8.0000000000000004E-4</v>
      </c>
      <c r="M57">
        <v>2.0000000000000001E-4</v>
      </c>
      <c r="N57">
        <v>2.0000000000000001E-4</v>
      </c>
      <c r="O57">
        <v>2.0000000000000001E-4</v>
      </c>
      <c r="P57">
        <v>2.0000000000000001E-4</v>
      </c>
      <c r="Q57">
        <v>2.0000000000000001E-4</v>
      </c>
      <c r="R57">
        <v>2.0000000000000001E-4</v>
      </c>
      <c r="S57">
        <v>2.0000000000000001E-4</v>
      </c>
      <c r="T57">
        <v>2.0000000000000001E-4</v>
      </c>
      <c r="U57">
        <v>1E-4</v>
      </c>
      <c r="V57">
        <v>1E-4</v>
      </c>
      <c r="W57">
        <v>1E-4</v>
      </c>
      <c r="X57">
        <v>1E-4</v>
      </c>
      <c r="Y57">
        <v>1E-4</v>
      </c>
      <c r="Z57">
        <v>1E-4</v>
      </c>
      <c r="AA57">
        <v>1E-4</v>
      </c>
      <c r="AB57">
        <v>1E-4</v>
      </c>
      <c r="AC57">
        <v>1E-4</v>
      </c>
      <c r="AD57">
        <v>1E-4</v>
      </c>
      <c r="AE57">
        <v>1E-4</v>
      </c>
      <c r="AF57">
        <v>1E-4</v>
      </c>
      <c r="AG57">
        <v>1E-4</v>
      </c>
      <c r="AH57">
        <v>1E-4</v>
      </c>
      <c r="AI57">
        <v>1E-4</v>
      </c>
      <c r="AJ57">
        <v>1E-4</v>
      </c>
      <c r="AK57">
        <v>1E-4</v>
      </c>
      <c r="AL57">
        <v>1E-4</v>
      </c>
      <c r="AM57">
        <v>1E-4</v>
      </c>
      <c r="AN57">
        <v>1E-4</v>
      </c>
      <c r="AO57">
        <v>1E-4</v>
      </c>
      <c r="AP57">
        <v>1E-4</v>
      </c>
      <c r="AQ57">
        <v>1E-4</v>
      </c>
      <c r="AR57">
        <v>1E-4</v>
      </c>
      <c r="AS57">
        <v>1E-4</v>
      </c>
      <c r="AT57">
        <v>1E-4</v>
      </c>
      <c r="AU57">
        <v>1E-4</v>
      </c>
      <c r="AV57">
        <v>1E-4</v>
      </c>
      <c r="AW57">
        <v>1E-4</v>
      </c>
      <c r="AX57">
        <v>1E-4</v>
      </c>
      <c r="AY57">
        <v>1E-4</v>
      </c>
      <c r="AZ57">
        <v>1E-4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E4D2C-5175-4D09-A9B8-D34DB97DD83F}">
  <sheetPr codeName="Sheet8"/>
  <dimension ref="A1:E111"/>
  <sheetViews>
    <sheetView workbookViewId="0"/>
  </sheetViews>
  <sheetFormatPr defaultRowHeight="15" x14ac:dyDescent="0.25"/>
  <sheetData>
    <row r="1" spans="1:5" x14ac:dyDescent="0.25">
      <c r="A1" t="s">
        <v>5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25">
      <c r="A2">
        <v>1</v>
      </c>
      <c r="B2">
        <v>0</v>
      </c>
      <c r="C2">
        <v>0</v>
      </c>
      <c r="D2">
        <v>2.3000000000000001E-4</v>
      </c>
      <c r="E2">
        <v>1.4999999999999999E-4</v>
      </c>
    </row>
    <row r="3" spans="1:5" x14ac:dyDescent="0.25">
      <c r="A3">
        <v>2</v>
      </c>
      <c r="B3">
        <v>0</v>
      </c>
      <c r="C3">
        <v>0</v>
      </c>
      <c r="D3">
        <v>2.3000000000000001E-4</v>
      </c>
      <c r="E3">
        <v>1.4999999999999999E-4</v>
      </c>
    </row>
    <row r="4" spans="1:5" x14ac:dyDescent="0.25">
      <c r="A4">
        <v>3</v>
      </c>
      <c r="B4">
        <v>0</v>
      </c>
      <c r="C4">
        <v>0</v>
      </c>
      <c r="D4">
        <v>2.3000000000000001E-4</v>
      </c>
      <c r="E4">
        <v>1.4999999999999999E-4</v>
      </c>
    </row>
    <row r="5" spans="1:5" x14ac:dyDescent="0.25">
      <c r="A5">
        <v>4</v>
      </c>
      <c r="B5">
        <v>0</v>
      </c>
      <c r="C5">
        <v>0</v>
      </c>
      <c r="D5">
        <v>2.3000000000000001E-4</v>
      </c>
      <c r="E5">
        <v>1.4999999999999999E-4</v>
      </c>
    </row>
    <row r="6" spans="1:5" x14ac:dyDescent="0.25">
      <c r="A6">
        <v>5</v>
      </c>
      <c r="B6">
        <v>0</v>
      </c>
      <c r="C6">
        <v>0</v>
      </c>
      <c r="D6">
        <v>2.3000000000000001E-4</v>
      </c>
      <c r="E6">
        <v>1.4999999999999999E-4</v>
      </c>
    </row>
    <row r="7" spans="1:5" x14ac:dyDescent="0.25">
      <c r="A7">
        <v>6</v>
      </c>
      <c r="B7">
        <v>0</v>
      </c>
      <c r="C7">
        <v>0</v>
      </c>
      <c r="D7">
        <v>2.3000000000000001E-4</v>
      </c>
      <c r="E7">
        <v>1.4999999999999999E-4</v>
      </c>
    </row>
    <row r="8" spans="1:5" x14ac:dyDescent="0.25">
      <c r="A8">
        <v>7</v>
      </c>
      <c r="B8">
        <v>0</v>
      </c>
      <c r="C8">
        <v>0</v>
      </c>
      <c r="D8">
        <v>2.3000000000000001E-4</v>
      </c>
      <c r="E8">
        <v>1.4999999999999999E-4</v>
      </c>
    </row>
    <row r="9" spans="1:5" x14ac:dyDescent="0.25">
      <c r="A9">
        <v>8</v>
      </c>
      <c r="B9">
        <v>0</v>
      </c>
      <c r="C9">
        <v>0</v>
      </c>
      <c r="D9">
        <v>2.3000000000000001E-4</v>
      </c>
      <c r="E9">
        <v>1.4999999999999999E-4</v>
      </c>
    </row>
    <row r="10" spans="1:5" x14ac:dyDescent="0.25">
      <c r="A10">
        <v>9</v>
      </c>
      <c r="B10">
        <v>0</v>
      </c>
      <c r="C10">
        <v>0</v>
      </c>
      <c r="D10">
        <v>2.3000000000000001E-4</v>
      </c>
      <c r="E10">
        <v>1.4999999999999999E-4</v>
      </c>
    </row>
    <row r="11" spans="1:5" x14ac:dyDescent="0.25">
      <c r="A11">
        <v>10</v>
      </c>
      <c r="B11">
        <v>0</v>
      </c>
      <c r="C11">
        <v>0</v>
      </c>
      <c r="D11">
        <v>2.4000000000000001E-4</v>
      </c>
      <c r="E11">
        <v>1.4999999999999999E-4</v>
      </c>
    </row>
    <row r="12" spans="1:5" x14ac:dyDescent="0.25">
      <c r="A12">
        <v>11</v>
      </c>
      <c r="B12">
        <v>0</v>
      </c>
      <c r="C12">
        <v>0</v>
      </c>
      <c r="D12">
        <v>2.4000000000000001E-4</v>
      </c>
      <c r="E12">
        <v>1.4999999999999999E-4</v>
      </c>
    </row>
    <row r="13" spans="1:5" x14ac:dyDescent="0.25">
      <c r="A13">
        <v>12</v>
      </c>
      <c r="B13">
        <v>0</v>
      </c>
      <c r="C13">
        <v>0</v>
      </c>
      <c r="D13">
        <v>2.4000000000000001E-4</v>
      </c>
      <c r="E13">
        <v>1.6000000000000001E-4</v>
      </c>
    </row>
    <row r="14" spans="1:5" x14ac:dyDescent="0.25">
      <c r="A14">
        <v>13</v>
      </c>
      <c r="B14">
        <v>0</v>
      </c>
      <c r="C14">
        <v>0</v>
      </c>
      <c r="D14">
        <v>2.4000000000000001E-4</v>
      </c>
      <c r="E14">
        <v>1.6000000000000001E-4</v>
      </c>
    </row>
    <row r="15" spans="1:5" x14ac:dyDescent="0.25">
      <c r="A15">
        <v>14</v>
      </c>
      <c r="B15">
        <v>0</v>
      </c>
      <c r="C15">
        <v>0</v>
      </c>
      <c r="D15">
        <v>2.4000000000000001E-4</v>
      </c>
      <c r="E15">
        <v>1.6000000000000001E-4</v>
      </c>
    </row>
    <row r="16" spans="1:5" x14ac:dyDescent="0.25">
      <c r="A16">
        <v>15</v>
      </c>
      <c r="B16">
        <v>2.3000000000000001E-4</v>
      </c>
      <c r="C16">
        <v>1.7000000000000001E-4</v>
      </c>
      <c r="D16">
        <v>2.4000000000000001E-4</v>
      </c>
      <c r="E16">
        <v>1.6000000000000001E-4</v>
      </c>
    </row>
    <row r="17" spans="1:5" x14ac:dyDescent="0.25">
      <c r="A17">
        <v>16</v>
      </c>
      <c r="B17">
        <v>2.4000000000000001E-4</v>
      </c>
      <c r="C17">
        <v>1.7000000000000001E-4</v>
      </c>
      <c r="D17">
        <v>2.4000000000000001E-4</v>
      </c>
      <c r="E17">
        <v>1.6000000000000001E-4</v>
      </c>
    </row>
    <row r="18" spans="1:5" x14ac:dyDescent="0.25">
      <c r="A18">
        <v>17</v>
      </c>
      <c r="B18">
        <v>2.5999999999999998E-4</v>
      </c>
      <c r="C18">
        <v>1.8000000000000001E-4</v>
      </c>
      <c r="D18">
        <v>2.4000000000000001E-4</v>
      </c>
      <c r="E18">
        <v>1.6000000000000001E-4</v>
      </c>
    </row>
    <row r="19" spans="1:5" x14ac:dyDescent="0.25">
      <c r="A19">
        <v>18</v>
      </c>
      <c r="B19">
        <v>2.7999999999999998E-4</v>
      </c>
      <c r="C19">
        <v>1.9000000000000001E-4</v>
      </c>
      <c r="D19">
        <v>2.4000000000000001E-4</v>
      </c>
      <c r="E19">
        <v>1.7000000000000001E-4</v>
      </c>
    </row>
    <row r="20" spans="1:5" x14ac:dyDescent="0.25">
      <c r="A20">
        <v>19</v>
      </c>
      <c r="B20">
        <v>2.9E-4</v>
      </c>
      <c r="C20">
        <v>1.9000000000000001E-4</v>
      </c>
      <c r="D20">
        <v>2.5000000000000001E-4</v>
      </c>
      <c r="E20">
        <v>1.7000000000000001E-4</v>
      </c>
    </row>
    <row r="21" spans="1:5" x14ac:dyDescent="0.25">
      <c r="A21">
        <v>20</v>
      </c>
      <c r="B21">
        <v>3.1E-4</v>
      </c>
      <c r="C21">
        <v>2.0000000000000001E-4</v>
      </c>
      <c r="D21">
        <v>2.5000000000000001E-4</v>
      </c>
      <c r="E21">
        <v>1.7000000000000001E-4</v>
      </c>
    </row>
    <row r="22" spans="1:5" x14ac:dyDescent="0.25">
      <c r="A22">
        <v>21</v>
      </c>
      <c r="B22">
        <v>3.3E-4</v>
      </c>
      <c r="C22">
        <v>2.1000000000000001E-4</v>
      </c>
      <c r="D22">
        <v>2.5999999999999998E-4</v>
      </c>
      <c r="E22">
        <v>1.8000000000000001E-4</v>
      </c>
    </row>
    <row r="23" spans="1:5" x14ac:dyDescent="0.25">
      <c r="A23">
        <v>22</v>
      </c>
      <c r="B23">
        <v>3.5E-4</v>
      </c>
      <c r="C23">
        <v>2.1000000000000001E-4</v>
      </c>
      <c r="D23">
        <v>2.5999999999999998E-4</v>
      </c>
      <c r="E23">
        <v>1.8000000000000001E-4</v>
      </c>
    </row>
    <row r="24" spans="1:5" x14ac:dyDescent="0.25">
      <c r="A24">
        <v>23</v>
      </c>
      <c r="B24">
        <v>3.6999999999999999E-4</v>
      </c>
      <c r="C24">
        <v>2.2000000000000001E-4</v>
      </c>
      <c r="D24">
        <v>2.7E-4</v>
      </c>
      <c r="E24">
        <v>1.9000000000000001E-4</v>
      </c>
    </row>
    <row r="25" spans="1:5" x14ac:dyDescent="0.25">
      <c r="A25">
        <v>24</v>
      </c>
      <c r="B25">
        <v>3.8999999999999999E-4</v>
      </c>
      <c r="C25">
        <v>2.2000000000000001E-4</v>
      </c>
      <c r="D25">
        <v>2.7999999999999998E-4</v>
      </c>
      <c r="E25">
        <v>2.0000000000000001E-4</v>
      </c>
    </row>
    <row r="26" spans="1:5" x14ac:dyDescent="0.25">
      <c r="A26">
        <v>25</v>
      </c>
      <c r="B26">
        <v>4.0000000000000002E-4</v>
      </c>
      <c r="C26">
        <v>2.3000000000000001E-4</v>
      </c>
      <c r="D26">
        <v>2.9E-4</v>
      </c>
      <c r="E26">
        <v>2.1000000000000001E-4</v>
      </c>
    </row>
    <row r="27" spans="1:5" x14ac:dyDescent="0.25">
      <c r="A27">
        <v>26</v>
      </c>
      <c r="B27">
        <v>4.0999999999999999E-4</v>
      </c>
      <c r="C27">
        <v>2.4000000000000001E-4</v>
      </c>
      <c r="D27">
        <v>3.1E-4</v>
      </c>
      <c r="E27">
        <v>2.2000000000000001E-4</v>
      </c>
    </row>
    <row r="28" spans="1:5" x14ac:dyDescent="0.25">
      <c r="A28">
        <v>27</v>
      </c>
      <c r="B28">
        <v>4.2999999999999999E-4</v>
      </c>
      <c r="C28">
        <v>2.4000000000000001E-4</v>
      </c>
      <c r="D28">
        <v>3.2000000000000003E-4</v>
      </c>
      <c r="E28">
        <v>2.3000000000000001E-4</v>
      </c>
    </row>
    <row r="29" spans="1:5" x14ac:dyDescent="0.25">
      <c r="A29">
        <v>28</v>
      </c>
      <c r="B29">
        <v>4.4999999999999999E-4</v>
      </c>
      <c r="C29">
        <v>2.4000000000000001E-4</v>
      </c>
      <c r="D29">
        <v>3.4000000000000002E-4</v>
      </c>
      <c r="E29">
        <v>2.4000000000000001E-4</v>
      </c>
    </row>
    <row r="30" spans="1:5" x14ac:dyDescent="0.25">
      <c r="A30">
        <v>29</v>
      </c>
      <c r="B30">
        <v>4.6999999999999999E-4</v>
      </c>
      <c r="C30">
        <v>2.5000000000000001E-4</v>
      </c>
      <c r="D30">
        <v>3.6000000000000002E-4</v>
      </c>
      <c r="E30">
        <v>2.5000000000000001E-4</v>
      </c>
    </row>
    <row r="31" spans="1:5" x14ac:dyDescent="0.25">
      <c r="A31">
        <v>30</v>
      </c>
      <c r="B31">
        <v>4.8999999999999998E-4</v>
      </c>
      <c r="C31">
        <v>2.5000000000000001E-4</v>
      </c>
      <c r="D31">
        <v>3.8999999999999999E-4</v>
      </c>
      <c r="E31">
        <v>2.7999999999999998E-4</v>
      </c>
    </row>
    <row r="32" spans="1:5" x14ac:dyDescent="0.25">
      <c r="A32">
        <v>31</v>
      </c>
      <c r="B32">
        <v>5.1000000000000004E-4</v>
      </c>
      <c r="C32">
        <v>2.7E-4</v>
      </c>
      <c r="D32">
        <v>4.0999999999999999E-4</v>
      </c>
      <c r="E32">
        <v>2.9999999999999997E-4</v>
      </c>
    </row>
    <row r="33" spans="1:5" x14ac:dyDescent="0.25">
      <c r="A33">
        <v>32</v>
      </c>
      <c r="B33">
        <v>5.2999999999999998E-4</v>
      </c>
      <c r="C33">
        <v>2.9E-4</v>
      </c>
      <c r="D33">
        <v>4.4999999999999999E-4</v>
      </c>
      <c r="E33">
        <v>3.3E-4</v>
      </c>
    </row>
    <row r="34" spans="1:5" x14ac:dyDescent="0.25">
      <c r="A34">
        <v>33</v>
      </c>
      <c r="B34">
        <v>5.4000000000000001E-4</v>
      </c>
      <c r="C34">
        <v>3.1E-4</v>
      </c>
      <c r="D34">
        <v>4.8999999999999998E-4</v>
      </c>
      <c r="E34">
        <v>3.6999999999999999E-4</v>
      </c>
    </row>
    <row r="35" spans="1:5" x14ac:dyDescent="0.25">
      <c r="A35">
        <v>34</v>
      </c>
      <c r="B35">
        <v>5.5999999999999995E-4</v>
      </c>
      <c r="C35">
        <v>3.3E-4</v>
      </c>
      <c r="D35">
        <v>5.4000000000000001E-4</v>
      </c>
      <c r="E35">
        <v>4.0999999999999999E-4</v>
      </c>
    </row>
    <row r="36" spans="1:5" x14ac:dyDescent="0.25">
      <c r="A36">
        <v>35</v>
      </c>
      <c r="B36">
        <v>5.6999999999999998E-4</v>
      </c>
      <c r="C36">
        <v>3.5E-4</v>
      </c>
      <c r="D36">
        <v>5.9999999999999995E-4</v>
      </c>
      <c r="E36">
        <v>4.6000000000000001E-4</v>
      </c>
    </row>
    <row r="37" spans="1:5" x14ac:dyDescent="0.25">
      <c r="A37">
        <v>36</v>
      </c>
      <c r="B37">
        <v>6.0999999999999997E-4</v>
      </c>
      <c r="C37">
        <v>3.8000000000000002E-4</v>
      </c>
      <c r="D37">
        <v>6.7000000000000002E-4</v>
      </c>
      <c r="E37">
        <v>5.1999999999999995E-4</v>
      </c>
    </row>
    <row r="38" spans="1:5" x14ac:dyDescent="0.25">
      <c r="A38">
        <v>37</v>
      </c>
      <c r="B38">
        <v>6.4999999999999997E-4</v>
      </c>
      <c r="C38">
        <v>4.0000000000000002E-4</v>
      </c>
      <c r="D38">
        <v>7.5000000000000002E-4</v>
      </c>
      <c r="E38">
        <v>5.9000000000000003E-4</v>
      </c>
    </row>
    <row r="39" spans="1:5" x14ac:dyDescent="0.25">
      <c r="A39">
        <v>38</v>
      </c>
      <c r="B39">
        <v>6.8999999999999997E-4</v>
      </c>
      <c r="C39">
        <v>4.2999999999999999E-4</v>
      </c>
      <c r="D39">
        <v>8.4999999999999995E-4</v>
      </c>
      <c r="E39">
        <v>6.8000000000000005E-4</v>
      </c>
    </row>
    <row r="40" spans="1:5" x14ac:dyDescent="0.25">
      <c r="A40">
        <v>39</v>
      </c>
      <c r="B40">
        <v>7.2999999999999996E-4</v>
      </c>
      <c r="C40">
        <v>4.6999999999999999E-4</v>
      </c>
      <c r="D40">
        <v>9.6000000000000002E-4</v>
      </c>
      <c r="E40">
        <v>7.7999999999999999E-4</v>
      </c>
    </row>
    <row r="41" spans="1:5" x14ac:dyDescent="0.25">
      <c r="A41">
        <v>40</v>
      </c>
      <c r="B41">
        <v>7.5000000000000002E-4</v>
      </c>
      <c r="C41">
        <v>5.0000000000000001E-4</v>
      </c>
      <c r="D41">
        <v>1.1000000000000001E-3</v>
      </c>
      <c r="E41">
        <v>9.1E-4</v>
      </c>
    </row>
    <row r="42" spans="1:5" x14ac:dyDescent="0.25">
      <c r="A42">
        <v>41</v>
      </c>
      <c r="B42">
        <v>8.1999999999999998E-4</v>
      </c>
      <c r="C42">
        <v>5.4000000000000001E-4</v>
      </c>
      <c r="D42">
        <v>1.2600000000000001E-3</v>
      </c>
      <c r="E42">
        <v>1.0499999999999999E-3</v>
      </c>
    </row>
    <row r="43" spans="1:5" x14ac:dyDescent="0.25">
      <c r="A43">
        <v>42</v>
      </c>
      <c r="B43">
        <v>8.8999999999999995E-4</v>
      </c>
      <c r="C43">
        <v>5.8E-4</v>
      </c>
      <c r="D43">
        <v>1.4499999999999999E-3</v>
      </c>
      <c r="E43">
        <v>1.23E-3</v>
      </c>
    </row>
    <row r="44" spans="1:5" x14ac:dyDescent="0.25">
      <c r="A44">
        <v>43</v>
      </c>
      <c r="B44">
        <v>9.3999999999999997E-4</v>
      </c>
      <c r="C44">
        <v>6.2E-4</v>
      </c>
      <c r="D44">
        <v>1.6800000000000001E-3</v>
      </c>
      <c r="E44">
        <v>1.4499999999999999E-3</v>
      </c>
    </row>
    <row r="45" spans="1:5" x14ac:dyDescent="0.25">
      <c r="A45">
        <v>44</v>
      </c>
      <c r="B45">
        <v>1.01E-3</v>
      </c>
      <c r="C45">
        <v>6.7000000000000002E-4</v>
      </c>
      <c r="D45">
        <v>1.9499999999999999E-3</v>
      </c>
      <c r="E45">
        <v>1.6999999999999999E-3</v>
      </c>
    </row>
    <row r="46" spans="1:5" x14ac:dyDescent="0.25">
      <c r="A46">
        <v>45</v>
      </c>
      <c r="B46">
        <v>1.06E-3</v>
      </c>
      <c r="C46">
        <v>7.1000000000000002E-4</v>
      </c>
      <c r="D46">
        <v>2.2699999999999999E-3</v>
      </c>
      <c r="E46">
        <v>2E-3</v>
      </c>
    </row>
    <row r="47" spans="1:5" x14ac:dyDescent="0.25">
      <c r="A47">
        <v>46</v>
      </c>
      <c r="B47">
        <v>1.16E-3</v>
      </c>
      <c r="C47">
        <v>7.6000000000000004E-4</v>
      </c>
      <c r="D47">
        <v>2.65E-3</v>
      </c>
      <c r="E47">
        <v>2.3600000000000001E-3</v>
      </c>
    </row>
    <row r="48" spans="1:5" x14ac:dyDescent="0.25">
      <c r="A48">
        <v>47</v>
      </c>
      <c r="B48">
        <v>1.2600000000000001E-3</v>
      </c>
      <c r="C48">
        <v>8.3000000000000001E-4</v>
      </c>
      <c r="D48">
        <v>3.0999999999999999E-3</v>
      </c>
      <c r="E48">
        <v>2.8E-3</v>
      </c>
    </row>
    <row r="49" spans="1:5" x14ac:dyDescent="0.25">
      <c r="A49">
        <v>48</v>
      </c>
      <c r="B49">
        <v>1.3600000000000001E-3</v>
      </c>
      <c r="C49">
        <v>8.8999999999999995E-4</v>
      </c>
      <c r="D49">
        <v>3.63E-3</v>
      </c>
      <c r="E49">
        <v>3.31E-3</v>
      </c>
    </row>
    <row r="50" spans="1:5" x14ac:dyDescent="0.25">
      <c r="A50">
        <v>49</v>
      </c>
      <c r="B50">
        <v>1.4499999999999999E-3</v>
      </c>
      <c r="C50">
        <v>9.3999999999999997E-4</v>
      </c>
      <c r="D50">
        <v>4.2700000000000004E-3</v>
      </c>
      <c r="E50">
        <v>3.9300000000000003E-3</v>
      </c>
    </row>
    <row r="51" spans="1:5" x14ac:dyDescent="0.25">
      <c r="A51">
        <v>50</v>
      </c>
      <c r="B51">
        <v>1.5499999999999999E-3</v>
      </c>
      <c r="C51">
        <v>1E-3</v>
      </c>
      <c r="D51">
        <v>5.0099999999999997E-3</v>
      </c>
      <c r="E51">
        <v>4.6600000000000001E-3</v>
      </c>
    </row>
    <row r="52" spans="1:5" x14ac:dyDescent="0.25">
      <c r="A52">
        <v>51</v>
      </c>
      <c r="B52">
        <v>1.6999999999999999E-3</v>
      </c>
      <c r="C52">
        <v>1.08E-3</v>
      </c>
      <c r="D52">
        <v>5.1700000000000001E-3</v>
      </c>
      <c r="E52">
        <v>4.7600000000000003E-3</v>
      </c>
    </row>
    <row r="53" spans="1:5" x14ac:dyDescent="0.25">
      <c r="A53">
        <v>52</v>
      </c>
      <c r="B53">
        <v>1.8500000000000001E-3</v>
      </c>
      <c r="C53">
        <v>1.1800000000000001E-3</v>
      </c>
      <c r="D53">
        <v>5.3400000000000001E-3</v>
      </c>
      <c r="E53">
        <v>4.7600000000000003E-3</v>
      </c>
    </row>
    <row r="54" spans="1:5" x14ac:dyDescent="0.25">
      <c r="A54">
        <v>53</v>
      </c>
      <c r="B54">
        <v>1.99E-3</v>
      </c>
      <c r="C54">
        <v>1.2600000000000001E-3</v>
      </c>
      <c r="D54">
        <v>5.5399999999999998E-3</v>
      </c>
      <c r="E54">
        <v>4.6600000000000001E-3</v>
      </c>
    </row>
    <row r="55" spans="1:5" x14ac:dyDescent="0.25">
      <c r="A55">
        <v>54</v>
      </c>
      <c r="B55">
        <v>2.1299999999999999E-3</v>
      </c>
      <c r="C55">
        <v>1.32E-3</v>
      </c>
      <c r="D55">
        <v>5.7800000000000004E-3</v>
      </c>
      <c r="E55">
        <v>4.4099999999999999E-3</v>
      </c>
    </row>
    <row r="56" spans="1:5" x14ac:dyDescent="0.25">
      <c r="A56">
        <v>55</v>
      </c>
      <c r="B56">
        <v>2.2799999999999999E-3</v>
      </c>
      <c r="C56">
        <v>1.3799999999999999E-3</v>
      </c>
      <c r="D56">
        <v>5.9899999999999997E-3</v>
      </c>
      <c r="E56">
        <v>4.1599999999999996E-3</v>
      </c>
    </row>
    <row r="57" spans="1:5" x14ac:dyDescent="0.25">
      <c r="A57">
        <v>56</v>
      </c>
      <c r="B57">
        <v>2.49E-3</v>
      </c>
      <c r="C57">
        <v>1.48E-3</v>
      </c>
      <c r="D57">
        <v>6.1500000000000001E-3</v>
      </c>
      <c r="E57">
        <v>4.0099999999999997E-3</v>
      </c>
    </row>
    <row r="58" spans="1:5" x14ac:dyDescent="0.25">
      <c r="A58">
        <v>57</v>
      </c>
      <c r="B58">
        <v>2.65E-3</v>
      </c>
      <c r="C58">
        <v>1.57E-3</v>
      </c>
      <c r="D58">
        <v>6.2500000000000003E-3</v>
      </c>
      <c r="E58">
        <v>3.9899999999999996E-3</v>
      </c>
    </row>
    <row r="59" spans="1:5" x14ac:dyDescent="0.25">
      <c r="A59">
        <v>58</v>
      </c>
      <c r="B59">
        <v>2.8E-3</v>
      </c>
      <c r="C59">
        <v>1.66E-3</v>
      </c>
      <c r="D59">
        <v>6.4799999999999996E-3</v>
      </c>
      <c r="E59">
        <v>4.0699999999999998E-3</v>
      </c>
    </row>
    <row r="60" spans="1:5" x14ac:dyDescent="0.25">
      <c r="A60">
        <v>59</v>
      </c>
      <c r="B60">
        <v>2.9399999999999999E-3</v>
      </c>
      <c r="C60">
        <v>1.74E-3</v>
      </c>
      <c r="D60">
        <v>6.7600000000000004E-3</v>
      </c>
      <c r="E60">
        <v>4.2100000000000002E-3</v>
      </c>
    </row>
    <row r="61" spans="1:5" x14ac:dyDescent="0.25">
      <c r="A61">
        <v>60</v>
      </c>
      <c r="B61">
        <v>3.0799999999999998E-3</v>
      </c>
      <c r="C61">
        <v>1.82E-3</v>
      </c>
      <c r="D61">
        <v>7.1000000000000004E-3</v>
      </c>
      <c r="E61">
        <v>4.3600000000000002E-3</v>
      </c>
    </row>
    <row r="62" spans="1:5" x14ac:dyDescent="0.25">
      <c r="A62">
        <v>61</v>
      </c>
      <c r="B62">
        <v>3.2799999999999999E-3</v>
      </c>
      <c r="C62">
        <v>1.9599999999999999E-3</v>
      </c>
      <c r="D62">
        <v>7.3099999999999997E-3</v>
      </c>
      <c r="E62">
        <v>4.5199999999999997E-3</v>
      </c>
    </row>
    <row r="63" spans="1:5" x14ac:dyDescent="0.25">
      <c r="A63">
        <v>62</v>
      </c>
      <c r="B63">
        <v>3.47E-3</v>
      </c>
      <c r="C63">
        <v>2.0799999999999998E-3</v>
      </c>
      <c r="D63">
        <v>7.5300000000000002E-3</v>
      </c>
      <c r="E63">
        <v>4.6600000000000001E-3</v>
      </c>
    </row>
    <row r="64" spans="1:5" x14ac:dyDescent="0.25">
      <c r="A64">
        <v>63</v>
      </c>
      <c r="B64">
        <v>3.6600000000000001E-3</v>
      </c>
      <c r="C64">
        <v>2.2499999999999998E-3</v>
      </c>
      <c r="D64">
        <v>7.7099999999999998E-3</v>
      </c>
      <c r="E64">
        <v>4.96E-3</v>
      </c>
    </row>
    <row r="65" spans="1:5" x14ac:dyDescent="0.25">
      <c r="A65">
        <v>64</v>
      </c>
      <c r="B65">
        <v>3.8300000000000001E-3</v>
      </c>
      <c r="C65">
        <v>2.4099999999999998E-3</v>
      </c>
      <c r="D65">
        <v>7.9299999999999995E-3</v>
      </c>
      <c r="E65">
        <v>5.3699999999999998E-3</v>
      </c>
    </row>
    <row r="66" spans="1:5" x14ac:dyDescent="0.25">
      <c r="A66">
        <v>65</v>
      </c>
      <c r="B66">
        <v>4.0000000000000001E-3</v>
      </c>
      <c r="C66">
        <v>2.5699999999999998E-3</v>
      </c>
      <c r="D66">
        <v>8.2900000000000005E-3</v>
      </c>
      <c r="E66">
        <v>5.8799999999999998E-3</v>
      </c>
    </row>
    <row r="67" spans="1:5" x14ac:dyDescent="0.25">
      <c r="A67">
        <v>66</v>
      </c>
      <c r="B67">
        <v>4.2300000000000003E-3</v>
      </c>
      <c r="C67">
        <v>2.7899999999999999E-3</v>
      </c>
      <c r="D67">
        <v>8.8599999999999998E-3</v>
      </c>
      <c r="E67">
        <v>6.4799999999999996E-3</v>
      </c>
    </row>
    <row r="68" spans="1:5" x14ac:dyDescent="0.25">
      <c r="A68">
        <v>67</v>
      </c>
      <c r="B68">
        <v>4.4400000000000004E-3</v>
      </c>
      <c r="C68">
        <v>3.0100000000000001E-3</v>
      </c>
      <c r="D68">
        <v>9.6100000000000005E-3</v>
      </c>
      <c r="E68">
        <v>7.2100000000000003E-3</v>
      </c>
    </row>
    <row r="69" spans="1:5" x14ac:dyDescent="0.25">
      <c r="A69">
        <v>68</v>
      </c>
      <c r="B69">
        <v>4.6499999999999996E-3</v>
      </c>
      <c r="C69">
        <v>3.2299999999999998E-3</v>
      </c>
      <c r="D69">
        <v>1.0460000000000001E-2</v>
      </c>
      <c r="E69">
        <v>8.0499999999999999E-3</v>
      </c>
    </row>
    <row r="70" spans="1:5" x14ac:dyDescent="0.25">
      <c r="A70">
        <v>69</v>
      </c>
      <c r="B70">
        <v>4.9399999999999999E-3</v>
      </c>
      <c r="C70">
        <v>3.4499999999999999E-3</v>
      </c>
      <c r="D70">
        <v>1.1650000000000001E-2</v>
      </c>
      <c r="E70">
        <v>8.9700000000000005E-3</v>
      </c>
    </row>
    <row r="71" spans="1:5" x14ac:dyDescent="0.25">
      <c r="A71">
        <v>70</v>
      </c>
      <c r="B71">
        <v>5.2399999999999999E-3</v>
      </c>
      <c r="C71">
        <v>3.6700000000000001E-3</v>
      </c>
      <c r="D71">
        <v>1.3050000000000001E-2</v>
      </c>
      <c r="E71">
        <v>9.9299999999999996E-3</v>
      </c>
    </row>
    <row r="72" spans="1:5" x14ac:dyDescent="0.25">
      <c r="A72">
        <v>71</v>
      </c>
      <c r="B72">
        <v>5.5700000000000003E-3</v>
      </c>
      <c r="C72">
        <v>3.9199999999999999E-3</v>
      </c>
      <c r="D72">
        <v>1.4630000000000001E-2</v>
      </c>
      <c r="E72">
        <v>1.102E-2</v>
      </c>
    </row>
    <row r="73" spans="1:5" x14ac:dyDescent="0.25">
      <c r="A73">
        <v>72</v>
      </c>
      <c r="B73">
        <v>5.9100000000000003E-3</v>
      </c>
      <c r="C73">
        <v>4.1900000000000001E-3</v>
      </c>
      <c r="D73">
        <v>1.6330000000000001E-2</v>
      </c>
      <c r="E73">
        <v>1.23E-2</v>
      </c>
    </row>
    <row r="74" spans="1:5" x14ac:dyDescent="0.25">
      <c r="A74">
        <v>73</v>
      </c>
      <c r="B74">
        <v>6.28E-3</v>
      </c>
      <c r="C74">
        <v>4.5100000000000001E-3</v>
      </c>
      <c r="D74">
        <v>1.8020000000000001E-2</v>
      </c>
      <c r="E74">
        <v>1.3780000000000001E-2</v>
      </c>
    </row>
    <row r="75" spans="1:5" x14ac:dyDescent="0.25">
      <c r="A75">
        <v>74</v>
      </c>
      <c r="B75">
        <v>6.6899999999999998E-3</v>
      </c>
      <c r="C75">
        <v>4.8599999999999997E-3</v>
      </c>
      <c r="D75">
        <v>1.9949999999999999E-2</v>
      </c>
      <c r="E75">
        <v>1.5429999999999999E-2</v>
      </c>
    </row>
    <row r="76" spans="1:5" x14ac:dyDescent="0.25">
      <c r="A76">
        <v>75</v>
      </c>
      <c r="B76">
        <v>7.1300000000000001E-3</v>
      </c>
      <c r="C76">
        <v>5.2599999999999999E-3</v>
      </c>
      <c r="D76">
        <v>2.205E-2</v>
      </c>
      <c r="E76">
        <v>1.7219999999999999E-2</v>
      </c>
    </row>
    <row r="77" spans="1:5" x14ac:dyDescent="0.25">
      <c r="A77">
        <v>76</v>
      </c>
      <c r="B77">
        <v>7.6E-3</v>
      </c>
      <c r="C77">
        <v>5.7099999999999998E-3</v>
      </c>
      <c r="D77">
        <v>2.4389999999999998E-2</v>
      </c>
      <c r="E77">
        <v>1.917E-2</v>
      </c>
    </row>
    <row r="78" spans="1:5" x14ac:dyDescent="0.25">
      <c r="A78">
        <v>77</v>
      </c>
      <c r="B78">
        <v>8.1099999999999992E-3</v>
      </c>
      <c r="C78">
        <v>6.2100000000000002E-3</v>
      </c>
      <c r="D78">
        <v>2.726E-2</v>
      </c>
      <c r="E78">
        <v>2.129E-2</v>
      </c>
    </row>
    <row r="79" spans="1:5" x14ac:dyDescent="0.25">
      <c r="A79">
        <v>78</v>
      </c>
      <c r="B79">
        <v>8.6599999999999993E-3</v>
      </c>
      <c r="C79">
        <v>6.7799999999999996E-3</v>
      </c>
      <c r="D79">
        <v>3.0640000000000001E-2</v>
      </c>
      <c r="E79">
        <v>2.358E-2</v>
      </c>
    </row>
    <row r="80" spans="1:5" x14ac:dyDescent="0.25">
      <c r="A80">
        <v>79</v>
      </c>
      <c r="B80">
        <v>9.2499999999999995E-3</v>
      </c>
      <c r="C80">
        <v>7.4200000000000004E-3</v>
      </c>
      <c r="D80">
        <v>3.4590000000000003E-2</v>
      </c>
      <c r="E80">
        <v>2.6110000000000001E-2</v>
      </c>
    </row>
    <row r="81" spans="1:5" x14ac:dyDescent="0.25">
      <c r="A81">
        <v>80</v>
      </c>
      <c r="B81">
        <v>9.9000000000000008E-3</v>
      </c>
      <c r="C81">
        <v>8.1399999999999997E-3</v>
      </c>
      <c r="D81">
        <v>3.8989999999999997E-2</v>
      </c>
      <c r="E81">
        <v>2.9020000000000001E-2</v>
      </c>
    </row>
    <row r="82" spans="1:5" x14ac:dyDescent="0.25">
      <c r="A82">
        <v>81</v>
      </c>
      <c r="B82">
        <v>0</v>
      </c>
      <c r="C82">
        <v>0</v>
      </c>
      <c r="D82">
        <v>4.4010000000000001E-2</v>
      </c>
      <c r="E82">
        <v>3.2439999999999997E-2</v>
      </c>
    </row>
    <row r="83" spans="1:5" x14ac:dyDescent="0.25">
      <c r="A83">
        <v>82</v>
      </c>
      <c r="B83">
        <v>0</v>
      </c>
      <c r="C83">
        <v>0</v>
      </c>
      <c r="D83">
        <v>4.9669999999999999E-2</v>
      </c>
      <c r="E83">
        <v>3.6450000000000003E-2</v>
      </c>
    </row>
    <row r="84" spans="1:5" x14ac:dyDescent="0.25">
      <c r="A84">
        <v>83</v>
      </c>
      <c r="B84">
        <v>0</v>
      </c>
      <c r="C84">
        <v>0</v>
      </c>
      <c r="D84">
        <v>5.586E-2</v>
      </c>
      <c r="E84">
        <v>4.1050000000000003E-2</v>
      </c>
    </row>
    <row r="85" spans="1:5" x14ac:dyDescent="0.25">
      <c r="A85">
        <v>84</v>
      </c>
      <c r="B85">
        <v>0</v>
      </c>
      <c r="C85">
        <v>0</v>
      </c>
      <c r="D85">
        <v>6.2460000000000002E-2</v>
      </c>
      <c r="E85">
        <v>4.6350000000000002E-2</v>
      </c>
    </row>
    <row r="86" spans="1:5" x14ac:dyDescent="0.25">
      <c r="A86">
        <v>85</v>
      </c>
      <c r="B86">
        <v>0</v>
      </c>
      <c r="C86">
        <v>0</v>
      </c>
      <c r="D86">
        <v>6.9690000000000002E-2</v>
      </c>
      <c r="E86">
        <v>5.2429999999999997E-2</v>
      </c>
    </row>
    <row r="87" spans="1:5" x14ac:dyDescent="0.25">
      <c r="A87">
        <v>86</v>
      </c>
      <c r="B87">
        <v>0</v>
      </c>
      <c r="C87">
        <v>0</v>
      </c>
      <c r="D87">
        <v>7.7679999999999999E-2</v>
      </c>
      <c r="E87">
        <v>5.9360000000000003E-2</v>
      </c>
    </row>
    <row r="88" spans="1:5" x14ac:dyDescent="0.25">
      <c r="A88">
        <v>87</v>
      </c>
      <c r="B88">
        <v>0</v>
      </c>
      <c r="C88">
        <v>0</v>
      </c>
      <c r="D88">
        <v>8.8319999999999996E-2</v>
      </c>
      <c r="E88">
        <v>6.7229999999999998E-2</v>
      </c>
    </row>
    <row r="89" spans="1:5" x14ac:dyDescent="0.25">
      <c r="A89">
        <v>88</v>
      </c>
      <c r="B89">
        <v>0</v>
      </c>
      <c r="C89">
        <v>0</v>
      </c>
      <c r="D89">
        <v>0.10051</v>
      </c>
      <c r="E89">
        <v>7.6090000000000005E-2</v>
      </c>
    </row>
    <row r="90" spans="1:5" x14ac:dyDescent="0.25">
      <c r="A90">
        <v>89</v>
      </c>
      <c r="B90">
        <v>0</v>
      </c>
      <c r="C90">
        <v>0</v>
      </c>
      <c r="D90">
        <v>0.11428000000000001</v>
      </c>
      <c r="E90">
        <v>8.5989999999999997E-2</v>
      </c>
    </row>
    <row r="91" spans="1:5" x14ac:dyDescent="0.25">
      <c r="A91">
        <v>90</v>
      </c>
      <c r="B91">
        <v>0</v>
      </c>
      <c r="C91">
        <v>0</v>
      </c>
      <c r="D91">
        <v>0.12973999999999999</v>
      </c>
      <c r="E91">
        <v>9.887E-2</v>
      </c>
    </row>
    <row r="92" spans="1:5" x14ac:dyDescent="0.25">
      <c r="A92">
        <v>91</v>
      </c>
      <c r="B92">
        <v>0</v>
      </c>
      <c r="C92">
        <v>0</v>
      </c>
      <c r="D92">
        <v>0.14674000000000001</v>
      </c>
      <c r="E92">
        <v>0.11310000000000001</v>
      </c>
    </row>
    <row r="93" spans="1:5" x14ac:dyDescent="0.25">
      <c r="A93">
        <v>92</v>
      </c>
      <c r="B93">
        <v>0</v>
      </c>
      <c r="C93">
        <v>0</v>
      </c>
      <c r="D93">
        <v>0.16491</v>
      </c>
      <c r="E93">
        <v>0.12866</v>
      </c>
    </row>
    <row r="94" spans="1:5" x14ac:dyDescent="0.25">
      <c r="A94">
        <v>93</v>
      </c>
      <c r="B94">
        <v>0</v>
      </c>
      <c r="C94">
        <v>0</v>
      </c>
      <c r="D94">
        <v>0.18393000000000001</v>
      </c>
      <c r="E94">
        <v>0.14566999999999999</v>
      </c>
    </row>
    <row r="95" spans="1:5" x14ac:dyDescent="0.25">
      <c r="A95">
        <v>94</v>
      </c>
      <c r="B95">
        <v>0</v>
      </c>
      <c r="C95">
        <v>0</v>
      </c>
      <c r="D95">
        <v>0.20374</v>
      </c>
      <c r="E95">
        <v>0.16439000000000001</v>
      </c>
    </row>
    <row r="96" spans="1:5" x14ac:dyDescent="0.25">
      <c r="A96">
        <v>95</v>
      </c>
      <c r="B96">
        <v>0</v>
      </c>
      <c r="C96">
        <v>0</v>
      </c>
      <c r="D96">
        <v>0.22444</v>
      </c>
      <c r="E96">
        <v>0.18489</v>
      </c>
    </row>
    <row r="97" spans="1:5" x14ac:dyDescent="0.25">
      <c r="A97">
        <v>96</v>
      </c>
      <c r="B97">
        <v>0</v>
      </c>
      <c r="C97">
        <v>0</v>
      </c>
      <c r="D97">
        <v>0.24607000000000001</v>
      </c>
      <c r="E97">
        <v>0.20682</v>
      </c>
    </row>
    <row r="98" spans="1:5" x14ac:dyDescent="0.25">
      <c r="A98">
        <v>97</v>
      </c>
      <c r="B98">
        <v>0</v>
      </c>
      <c r="C98">
        <v>0</v>
      </c>
      <c r="D98">
        <v>0.26862000000000003</v>
      </c>
      <c r="E98">
        <v>0.22958000000000001</v>
      </c>
    </row>
    <row r="99" spans="1:5" x14ac:dyDescent="0.25">
      <c r="A99">
        <v>98</v>
      </c>
      <c r="B99">
        <v>0</v>
      </c>
      <c r="C99">
        <v>0</v>
      </c>
      <c r="D99">
        <v>0.28631000000000001</v>
      </c>
      <c r="E99">
        <v>0.24748999999999999</v>
      </c>
    </row>
    <row r="100" spans="1:5" x14ac:dyDescent="0.25">
      <c r="A100">
        <v>99</v>
      </c>
      <c r="B100">
        <v>0</v>
      </c>
      <c r="C100">
        <v>0</v>
      </c>
      <c r="D100">
        <v>0.31012000000000001</v>
      </c>
      <c r="E100">
        <v>0.26983000000000001</v>
      </c>
    </row>
    <row r="101" spans="1:5" x14ac:dyDescent="0.25">
      <c r="A101">
        <v>100</v>
      </c>
      <c r="B101">
        <v>0</v>
      </c>
      <c r="C101">
        <v>0</v>
      </c>
      <c r="D101">
        <v>0.32535999999999998</v>
      </c>
      <c r="E101">
        <v>0.30016999999999999</v>
      </c>
    </row>
    <row r="102" spans="1:5" x14ac:dyDescent="0.25">
      <c r="A102">
        <v>101</v>
      </c>
      <c r="B102">
        <v>0</v>
      </c>
      <c r="C102">
        <v>0</v>
      </c>
      <c r="D102">
        <v>0.36043999999999998</v>
      </c>
      <c r="E102">
        <v>0.33581</v>
      </c>
    </row>
    <row r="103" spans="1:5" x14ac:dyDescent="0.25">
      <c r="A103">
        <v>102</v>
      </c>
      <c r="B103">
        <v>0</v>
      </c>
      <c r="C103">
        <v>0</v>
      </c>
      <c r="D103">
        <v>0.39716000000000001</v>
      </c>
      <c r="E103">
        <v>0.37281999999999998</v>
      </c>
    </row>
    <row r="104" spans="1:5" x14ac:dyDescent="0.25">
      <c r="A104">
        <v>103</v>
      </c>
      <c r="B104">
        <v>0</v>
      </c>
      <c r="C104">
        <v>0</v>
      </c>
      <c r="D104">
        <v>0.45526</v>
      </c>
      <c r="E104">
        <v>0.43006</v>
      </c>
    </row>
    <row r="105" spans="1:5" x14ac:dyDescent="0.25">
      <c r="A105">
        <v>104</v>
      </c>
      <c r="B105">
        <v>0</v>
      </c>
      <c r="C105">
        <v>0</v>
      </c>
      <c r="D105">
        <v>0.52071000000000001</v>
      </c>
      <c r="E105">
        <v>0.49482999999999999</v>
      </c>
    </row>
    <row r="106" spans="1:5" x14ac:dyDescent="0.25">
      <c r="A106">
        <v>105</v>
      </c>
      <c r="B106">
        <v>0</v>
      </c>
      <c r="C106">
        <v>0</v>
      </c>
      <c r="D106">
        <v>0.58526999999999996</v>
      </c>
      <c r="E106">
        <v>0.56093000000000004</v>
      </c>
    </row>
    <row r="107" spans="1:5" x14ac:dyDescent="0.25">
      <c r="A107">
        <v>106</v>
      </c>
      <c r="B107">
        <v>0</v>
      </c>
      <c r="C107">
        <v>0</v>
      </c>
      <c r="D107">
        <v>0.64480999999999999</v>
      </c>
      <c r="E107">
        <v>0.62326000000000004</v>
      </c>
    </row>
    <row r="108" spans="1:5" x14ac:dyDescent="0.25">
      <c r="A108">
        <v>107</v>
      </c>
      <c r="B108">
        <v>0</v>
      </c>
      <c r="C108">
        <v>0</v>
      </c>
      <c r="D108">
        <v>0.71040000000000003</v>
      </c>
      <c r="E108">
        <v>0.69252000000000002</v>
      </c>
    </row>
    <row r="109" spans="1:5" x14ac:dyDescent="0.25">
      <c r="A109">
        <v>108</v>
      </c>
      <c r="B109">
        <v>0</v>
      </c>
      <c r="C109">
        <v>0</v>
      </c>
      <c r="D109">
        <v>0.78266999999999998</v>
      </c>
      <c r="E109">
        <v>0.76948000000000005</v>
      </c>
    </row>
    <row r="110" spans="1:5" x14ac:dyDescent="0.25">
      <c r="A110">
        <v>109</v>
      </c>
      <c r="B110">
        <v>0</v>
      </c>
      <c r="C110">
        <v>0</v>
      </c>
      <c r="D110">
        <v>0.86228000000000005</v>
      </c>
      <c r="E110">
        <v>0.85499000000000003</v>
      </c>
    </row>
    <row r="111" spans="1:5" x14ac:dyDescent="0.25">
      <c r="A111">
        <v>110</v>
      </c>
      <c r="B111">
        <v>0</v>
      </c>
      <c r="C111">
        <v>0</v>
      </c>
      <c r="D111">
        <v>1</v>
      </c>
      <c r="E1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Documentation</vt:lpstr>
      <vt:lpstr>Assumptions</vt:lpstr>
      <vt:lpstr>AMMset</vt:lpstr>
      <vt:lpstr>Totals</vt:lpstr>
      <vt:lpstr>Checks</vt:lpstr>
      <vt:lpstr>Present Values</vt:lpstr>
      <vt:lpstr>Payouts</vt:lpstr>
      <vt:lpstr>One ret age</vt:lpstr>
      <vt:lpstr>One person</vt:lpstr>
      <vt:lpstr>EAN calculation</vt:lpstr>
      <vt:lpstr>PVB check</vt:lpstr>
      <vt:lpstr>Ret</vt:lpstr>
      <vt:lpstr>Withd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2019-07-23T15:34:38Z</dcterms:modified>
</cp:coreProperties>
</file>